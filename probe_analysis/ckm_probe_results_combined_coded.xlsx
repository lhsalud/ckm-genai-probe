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defaultThemeVersion="202300"/>
  <mc:AlternateContent xmlns:mc="http://schemas.openxmlformats.org/markup-compatibility/2006">
    <mc:Choice Requires="x15">
      <x15ac:absPath xmlns:x15ac="http://schemas.microsoft.com/office/spreadsheetml/2010/11/ac" url="https://d.docs.live.net/a982e2c53aa34e77/Documents/Graduate School/University of Illinois at Chicago PhD Health Informatics program/Classes/BHIS 591/Parde Summer Rotation/repos/ckm-genai-probe/probe_analysis/"/>
    </mc:Choice>
  </mc:AlternateContent>
  <xr:revisionPtr revIDLastSave="180" documentId="8_{0F3B5912-73D3-9F42-822F-860B436EA15E}" xr6:coauthVersionLast="47" xr6:coauthVersionMax="47" xr10:uidLastSave="{3AC83301-5229-9548-B03F-0C26DC39470F}"/>
  <bookViews>
    <workbookView xWindow="-28780" yWindow="-3040" windowWidth="28800" windowHeight="29900" activeTab="4" xr2:uid="{E64B8789-0C68-7D49-AD50-806227D30D06}"/>
  </bookViews>
  <sheets>
    <sheet name="count severity" sheetId="8" r:id="rId1"/>
    <sheet name="Detail1" sheetId="9" r:id="rId2"/>
    <sheet name="ave severity" sheetId="3" r:id="rId3"/>
    <sheet name="correct" sheetId="4" r:id="rId4"/>
    <sheet name="ckm_probe_results_combined_code" sheetId="1" r:id="rId5"/>
  </sheets>
  <definedNames>
    <definedName name="_xlnm._FilterDatabase" localSheetId="4" hidden="1">ckm_probe_results_combined_code!$A$1:$T$61</definedName>
  </definedNames>
  <calcPr calcId="191029" iterateDelta="1E-4"/>
  <pivotCaches>
    <pivotCache cacheId="14"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2" i="1"/>
  <c r="H73" i="3"/>
  <c r="G35" i="3"/>
</calcChain>
</file>

<file path=xl/sharedStrings.xml><?xml version="1.0" encoding="utf-8"?>
<sst xmlns="http://schemas.openxmlformats.org/spreadsheetml/2006/main" count="765" uniqueCount="272">
  <si>
    <t>message_id</t>
  </si>
  <si>
    <t>id</t>
  </si>
  <si>
    <t>use_ehr</t>
  </si>
  <si>
    <t>use_rag</t>
  </si>
  <si>
    <t>use_ckm_stage</t>
  </si>
  <si>
    <t>predicted</t>
  </si>
  <si>
    <t>expected</t>
  </si>
  <si>
    <t>correct</t>
  </si>
  <si>
    <t>parse_ok</t>
  </si>
  <si>
    <t>severity_distance</t>
  </si>
  <si>
    <t>under_triage</t>
  </si>
  <si>
    <t>over_triage</t>
  </si>
  <si>
    <t>rationale</t>
  </si>
  <si>
    <t>recommended_action</t>
  </si>
  <si>
    <t>retrieved</t>
  </si>
  <si>
    <t>condition</t>
  </si>
  <si>
    <t>predicted_rank</t>
  </si>
  <si>
    <t>expected_rank</t>
  </si>
  <si>
    <t>calculated_severity_distance</t>
  </si>
  <si>
    <t>INBOX_A-00000-of-00001-27-M1</t>
  </si>
  <si>
    <t>INBOX_A-00000-of-00001-27</t>
  </si>
  <si>
    <t>SELF_CARE</t>
  </si>
  <si>
    <t>The patient's menstrual cycle is irregular due to her advanced maternal age and multigravida status [S3]. She has a history of gestational diabetes mellitus (GDM) and class 1 obesity, but there are no current symptoms or red flags for an emergent condition. The patient's question about missed period can be addressed with self-care instructions.</t>
  </si>
  <si>
    <t>The patient should be instructed to track her menstrual cycle and consider a pregnancy test if she has not had a period within the next week.</t>
  </si>
  <si>
    <t>[S1] ndumele-et-al-2026-ckm.pdf, p.33; [S2] ndumele-et-al-2026-ckm.pdf, p.33; [S3] ndumele-et-al-2026-ckm.pdf, p.33; [S4] ndumele-et-al-2026-ckm.pdf, p.69; [S5] ndumele-et-al-2026-ckm.pdf, p.68</t>
  </si>
  <si>
    <t>EHR + RAG + CKM Staging Known</t>
  </si>
  <si>
    <t>INBOX_A-00000-of-00001-28-M1</t>
  </si>
  <si>
    <t>INBOX_A-00000-of-00001-28</t>
  </si>
  <si>
    <t>URGENT</t>
  </si>
  <si>
    <t>The patient's symptoms suggest a possible infection, which warrants same-day evaluation and potential treatment. Given her history of frequent unifocal PVCs and vasovagal episode, it is essential to rule out any underlying cardiac or metabolic issues contributing to these symptoms. [S1] recommends caution in patients with GI side effects, but the patient's current symptoms do not directly relate to this guideline.</t>
  </si>
  <si>
    <t>Schedule an urgent appointment for same-day evaluation and potential treatment of the infection.</t>
  </si>
  <si>
    <t>[S1] ndumele-et-al-2026-ckm.pdf, p.37; [S2] ndumele-et-al-2026-ckm.pdf, p.37; [S3] ndumele-et-al-2026-ckm.pdf, p.8; [S4] ndumele-et-al-2026-ckm.pdf, p.65; [S5] ndumele-et-al-2026-ckm.pdf, p.37</t>
  </si>
  <si>
    <t>INBOX_A-00000-of-00001-29-M1</t>
  </si>
  <si>
    <t>INBOX_A-00000-of-00001-29</t>
  </si>
  <si>
    <t>The patient's unexpected bleeding is not immediately life-threatening or severe, but it warrants further evaluation. The patient has a history of infertility and pregnancy complications, which may be relevant to the current situation. According to [S1], women with CKM syndrome stage ‚â•2 should receive interprofessional care team evaluation and monitoring.</t>
  </si>
  <si>
    <t>Schedule an appointment for the patient to discuss her unexpected bleeding and update her physical address in the system.</t>
  </si>
  <si>
    <t>[S1] ndumele-et-al-2026-ckm.pdf, p.69; [S2] ndumele-et-al-2026-ckm.pdf, p.37; [S3] ndumele-et-al-2026-ckm.pdf, p.69; [S4] ndumele-et-al-2026-ckm.pdf, p.99; [S5] ndumele-et-al-2026-ckm.pdf, p.99</t>
  </si>
  <si>
    <t>INBOX_A-00000-of-00001-00-M1</t>
  </si>
  <si>
    <t>INBOX_A-00000-of-00001-00</t>
  </si>
  <si>
    <t>The patient's temperature is within a normal range (100.9¬∞F), and there are no other concerning symptoms or findings in the EHR. According to [S4], CKM syndrome stage 2 includes individuals with metabolic risk factors, but this patient does not have any recent lab results indicating hypertriglyceridemia, hypertension, or type 2 diabetes. The patient's current medication list and past-year diagnoses do not suggest an immediate need for urgent attention.</t>
  </si>
  <si>
    <t>The patient should continue to monitor their symptoms at home and schedule a routine appointment with their doctor within the next week to discuss any ongoing concerns.</t>
  </si>
  <si>
    <t>[S1] ndumele-et-al-2026-ckm.pdf, p.9; [S2] ndumele-et-al-2026-ckm.pdf, p.23; [S3] ndumele-et-al-2026-ckm.pdf, p.25; [S4] ndumele-et-al-2026-ckm.pdf, p.10; [S5] ndumele-et-al-2026-ckm.pdf, p.48</t>
  </si>
  <si>
    <t>INBOX_A-00000-of-00001-01-M1</t>
  </si>
  <si>
    <t>INBOX_A-00000-of-00001-01</t>
  </si>
  <si>
    <t>EMERGENT</t>
  </si>
  <si>
    <t>The patient's report of heavy menstrual bleeding and severe cramping warrants urgent attention. According to [S2], patients with CKM syndrome should be identified and addressed, particularly those with hyperglycemia, severe albuminuria, and medications. The patient's EHR indicates a history of iron deficiency anemia due to chronic blood loss and menorrhagia with irregular cycle.</t>
  </si>
  <si>
    <t>Schedule an urgent appointment or refer the patient to an urgent care center for immediate evaluation and management</t>
  </si>
  <si>
    <t>[S1] ndumele-et-al-2026-ckm.pdf, p.66; [S2] ndumele-et-al-2026-ckm.pdf, p.38; [S3] ndumele-et-al-2026-ckm.pdf, p.62; [S4] ndumele-et-al-2026-ckm.pdf, p.31; [S5] ndumele-et-al-2026-ckm.pdf, p.10</t>
  </si>
  <si>
    <t>INBOX_A-00000-of-00001-02-M1</t>
  </si>
  <si>
    <t>INBOX_A-00000-of-00001-02</t>
  </si>
  <si>
    <t>ROUTINE</t>
  </si>
  <si>
    <t>The patient's complaint of heavy and painful periods with thick and dark blood is a red flag for potential underlying conditions such as endometrial hyperplasia or even cancer [S1]. Given the patient's age, BMI (45.0-49.9), and past-year diagnoses of mixed anxiety and depressive disorder, it is essential to investigate this symptom further [S2].</t>
  </si>
  <si>
    <t>Schedule an appointment for the patient to discuss her symptoms in person and consider ordering a pelvic exam and potentially further diagnostic testing.</t>
  </si>
  <si>
    <t>[S1] ndumele-et-al-2026-ckm.pdf, p.31; [S2] ndumele-et-al-2026-ckm.pdf, p.37; [S3] ndumele-et-al-2026-ckm.pdf, p.31; [S4] ndumele-et-al-2026-ckm.pdf, p.37; [S5] ndumele-et-al-2026-ckm.pdf, p.46</t>
  </si>
  <si>
    <t>INBOX_A-00000-of-00001-03-M1</t>
  </si>
  <si>
    <t>INBOX_A-00000-of-00001-03</t>
  </si>
  <si>
    <t>The patient's symptoms of severe pain and its worsening with urination are concerning for potential complications, such as kidney stones or urinary tract infections. Given her history of endometriosis and chronic pelvic pain, it is essential to investigate these symptoms further. [S1] recommends optimizing CKM risk factors before pregnancy, which includes addressing any underlying conditions that may impact renal function.</t>
  </si>
  <si>
    <t>Schedule an appointment with the patient within the next 3 days to assess her symptoms and develop a plan for managing her pain and potential complications.</t>
  </si>
  <si>
    <t>[S1] ndumele-et-al-2026-ckm.pdf, p.69; [S2] ndumele-et-al-2026-ckm.pdf, p.99; [S3] ndumele-et-al-2026-ckm.pdf, p.99; [S4] ndumele-et-al-2026-ckm.pdf, p.68; [S5] ndumele-et-al-2026-ckm.pdf, p.68</t>
  </si>
  <si>
    <t>INBOX_A-00000-of-00001-04-M1</t>
  </si>
  <si>
    <t>INBOX_A-00000-of-00001-04</t>
  </si>
  <si>
    <t>The patient's symptoms of chest tightness and shortness of breath are concerning for potential cardiac issues, particularly given their history of SVT and morbid obesity with a BMI of 50.0-59.9 [S2]. Additionally, the presence of OSA, which is common in patients with CKM syndrome, may be contributing to these symptoms [S3].</t>
  </si>
  <si>
    <t>Schedule an urgent appointment for further evaluation and management of these symptoms</t>
  </si>
  <si>
    <t>[S1] ndumele-et-al-2026-ckm.pdf, p.31; [S2] ndumele-et-al-2026-ckm.pdf, p.46; [S3] ndumele-et-al-2026-ckm.pdf, p.67; [S4] ndumele-et-al-2026-ckm.pdf, p.93; [S5] ndumele-et-al-2026-ckm.pdf, p.83</t>
  </si>
  <si>
    <t>INBOX_A-00000-of-00001-05-M1</t>
  </si>
  <si>
    <t>INBOX_A-00000-of-00001-05</t>
  </si>
  <si>
    <t>The patient's symptoms of intermittent hematuria and severe urinary pain are concerning for a possible underlying condition such as interstitial cystitis (IC), which is already present in the patient's EHR. According to [S5], residual albuminuria on CKM therapy remains a strong risk factor for ASCVD, HF, and CKD progression, and reassessment of albuminuria after initiation of drugs that target CKD and CKM syndrome is recommended. The patient's CKM stage 4 diagnosis also warrants careful monitoring of potential adverse effects.</t>
  </si>
  <si>
    <t>Schedule an appointment with the patient to further evaluate their symptoms and adjust their treatment plan as needed, including reassessing albuminuria and considering additional pharmacologic interventions.</t>
  </si>
  <si>
    <t>[S1] ndumele-et-al-2026-ckm.pdf, p.38; [S2] ndumele-et-al-2026-ckm.pdf, p.70; [S3] ndumele-et-al-2026-ckm.pdf, p.37; [S4] ndumele-et-al-2026-ckm.pdf, p.47; [S5] ndumele-et-al-2026-ckm.pdf, p.71</t>
  </si>
  <si>
    <t>INBOX_A-00000-of-00001-06-M1</t>
  </si>
  <si>
    <t>INBOX_A-00000-of-00001-06</t>
  </si>
  <si>
    <t>The patient's complaint of difficulty starting to pee, particularly with albuminuria as a comorbidity, warrants urgent attention. [S2] suggests reassessing albuminuria after initiation of drugs that target CKD and CKM syndrome, which may be relevant here given the patient's CKD diagnosis. [S4] also highlights residual albuminuria as a strong risk factor for ASCVD, HF, and CKD progression.</t>
  </si>
  <si>
    <t>Schedule an appointment with the doctor within the next 3 days to assess the patient's urination difficulty and CKD management</t>
  </si>
  <si>
    <t>[S1] ndumele-et-al-2026-ckm.pdf, p.62; [S2] ndumele-et-al-2026-ckm.pdf, p.71; [S3] ndumele-et-al-2026-ckm.pdf, p.37; [S4] ndumele-et-al-2026-ckm.pdf, p.71; [S5] ndumele-et-al-2026-ckm.pdf, p.38</t>
  </si>
  <si>
    <t>INBOX_A-00000-of-00001-07-M1</t>
  </si>
  <si>
    <t>INBOX_A-00000-of-00001-07</t>
  </si>
  <si>
    <t>The patient's complaint of bad-smelling urine warrants urgent attention, especially given their history of breast cancer and potential for underlying kidney disease [S4]. The CKM stage is provisionally Stage 0, but this finding may indicate a need for further evaluation. Additionally, the patient's use of medications such as losartan and omeprazole may be relevant to the investigation.</t>
  </si>
  <si>
    <t>Schedule an appointment with the primary care physician within the next 24-48 hours to investigate the cause of the bad-smelling urine.</t>
  </si>
  <si>
    <t>[S1] ndumele-et-al-2026-ckm.pdf, p.37; [S2] ndumele-et-al-2026-ckm.pdf, p.8; [S3] ndumele-et-al-2026-ckm.pdf, p.41; [S4] ndumele-et-al-2026-ckm.pdf, p.9; [S5] ndumele-et-al-2026-ckm.pdf, p.65</t>
  </si>
  <si>
    <t>INBOX_A-00000-of-00001-08-M1</t>
  </si>
  <si>
    <t>INBOX_A-00000-of-00001-08</t>
  </si>
  <si>
    <t>The patient's complaint of pain in the lower pelvic area is concerning, especially given her history of gestational thrombocytopenia and current pregnancy [S1]. The pain is also affecting her sleep, which may indicate a need for prompt evaluation [S4].</t>
  </si>
  <si>
    <t>Schedule an appointment with the patient within the next 24-48 hours to assess the cause of the pelvic pain and address any potential complications related to her pregnancy.</t>
  </si>
  <si>
    <t>[S1] ndumele-et-al-2026-ckm.pdf, p.69; [S2] ndumele-et-al-2026-ckm.pdf, p.84; [S3] ndumele-et-al-2026-ckm.pdf, p.37; [S4] ndumele-et-al-2026-ckm.pdf, p.68; [S5] ndumele-et-al-2026-ckm.pdf, p.99</t>
  </si>
  <si>
    <t>INBOX_A-00000-of-00001-09-M1</t>
  </si>
  <si>
    <t>INBOX_A-00000-of-00001-09</t>
  </si>
  <si>
    <t>The patient is experiencing heavy bleeding and increased menstrual flow after giving birth, which may be a sign of postpartum hemorrhage or other complications. According to [S3], postpartum glucose intolerance is common in women with GDM, but this patient's symptoms are more concerning for a gynecological issue. Given the patient's history of left tubal pregnancy and reactive depression, it is essential to address her current situation promptly.</t>
  </si>
  <si>
    <t>Schedule an urgent appointment or same-day visit to assess and manage the patient's heavy bleeding.</t>
  </si>
  <si>
    <t>[S1] ndumele-et-al-2026-ckm.pdf, p.69; [S2] ndumele-et-al-2026-ckm.pdf, p.37; [S3] ndumele-et-al-2026-ckm.pdf, p.33; [S4] ndumele-et-al-2026-ckm.pdf, p.99; [S5] ndumele-et-al-2026-ckm.pdf, p.33</t>
  </si>
  <si>
    <t>INBOX_A-00000-of-00001-10-M1</t>
  </si>
  <si>
    <t>INBOX_A-00000-of-00001-10</t>
  </si>
  <si>
    <t>The patient's report of clotting during her regular periods is a concerning symptom that warrants urgent attention, especially given her history of severe dysplasia of the cervix (CIN III) [S1]. Clotting can be an indicator of underlying cardiovascular disease or other conditions that require prompt evaluation. According to the CKM guidelines, patients with prior gestational diabetes and premenopausal Hispanic women are at increased risk for atherosclerosis [S1].</t>
  </si>
  <si>
    <t>Schedule an appointment within the next 24-48 hours to discuss further evaluation and management of her symptoms.</t>
  </si>
  <si>
    <t>[S1] ndumele-et-al-2026-ckm.pdf, p.84; [S2] ndumele-et-al-2026-ckm.pdf, p.37; [S3] ndumele-et-al-2026-ckm.pdf, p.37; [S4] ndumele-et-al-2026-ckm.pdf, p.31; [S5] ndumele-et-al-2026-ckm.pdf, p.8</t>
  </si>
  <si>
    <t>INBOX_A-00000-of-00001-11-M1</t>
  </si>
  <si>
    <t>INBOX_A-00000-of-00001-11</t>
  </si>
  <si>
    <t>The patient's fever is significantly elevated and fluctuating, which may indicate an underlying infection or other serious condition. According to [S2], patients with acute coronary syndrome, CKD, pulmonary embolus, or myopericarditis may present with fever. Given the patient's age and medical history (chest pain in the past year), it is essential to investigate this further.</t>
  </si>
  <si>
    <t>Schedule an urgent appointment for the patient to be evaluated by a healthcare provider as soon as possible</t>
  </si>
  <si>
    <t>[S1] ndumele-et-al-2026-ckm.pdf, p.20; [S2] ndumele-et-al-2026-ckm.pdf, p.45; [S3] ndumele-et-al-2026-ckm.pdf, p.45; [S4] ndumele-et-al-2026-ckm.pdf, p.31; [S5] ndumele-et-al-2026-ckm.pdf, p.71</t>
  </si>
  <si>
    <t>INBOX_A-00000-of-00001-12-M1</t>
  </si>
  <si>
    <t>INBOX_A-00000-of-00001-12</t>
  </si>
  <si>
    <t>The patient's complaint of persistent urinary incontinence and dribbling during urination is concerning, especially given her history of Chiari malformation type I [S3] and potential impact on intravascular volume depletion [S3]. Additionally, her CKM stage is provisionally Stage 0 and unclassifiable, making it essential to investigate this issue further. This warrants same-day treatment.</t>
  </si>
  <si>
    <t>Schedule an urgent appointment for the patient to discuss her symptoms and undergo a thorough evaluation.</t>
  </si>
  <si>
    <t>[S1] ndumele-et-al-2026-ckm.pdf, p.9; [S2] ndumele-et-al-2026-ckm.pdf, p.37; [S3] ndumele-et-al-2026-ckm.pdf, p.37; [S4] ndumele-et-al-2026-ckm.pdf, p.31; [S5] ndumele-et-al-2026-ckm.pdf, p.70</t>
  </si>
  <si>
    <t>INBOX_A-00000-of-00001-13-M1</t>
  </si>
  <si>
    <t>INBOX_A-00000-of-00001-13</t>
  </si>
  <si>
    <t>The patient's fever and diarrhea are concerning symptoms that require prompt attention. According to [S2], prolonged fasting can increase the risk of genital mycotic infections, but in this case, the patient is experiencing gastrointestinal issues. Given the patient's age (30-35) and past-year diagnoses (Allergic rhinitis, unspecified seasonality), it is essential to rule out any underlying conditions that may be contributing to these symptoms.</t>
  </si>
  <si>
    <t>Schedule an appointment with a doctor within the next 24 hours to assess and manage the patient's fever, diarrhea, and headache.</t>
  </si>
  <si>
    <t>[S1] ndumele-et-al-2026-ckm.pdf, p.99; [S2] ndumele-et-al-2026-ckm.pdf, p.37; [S3] ndumele-et-al-2026-ckm.pdf, p.31; [S4] ndumele-et-al-2026-ckm.pdf, p.70; [S5] ndumele-et-al-2026-ckm.pdf, p.37</t>
  </si>
  <si>
    <t>INBOX_A-00000-of-00001-14-M1</t>
  </si>
  <si>
    <t>INBOX_A-00000-of-00001-14</t>
  </si>
  <si>
    <t>The patient's low-grade fever (99.9 - 101.0) is not indicative of a life-threatening issue [S1]. Given the patient's age and medical history, including NSTEMI and hypertension, it is essential to monitor their condition closely, but immediate attention is not required.</t>
  </si>
  <si>
    <t>Monitor JG's condition remotely and advise them on self-care measures for managing low-grade fever.</t>
  </si>
  <si>
    <t>[S1] ndumele-et-al-2026-ckm.pdf, p.72; [S2] ndumele-et-al-2026-ckm.pdf, p.46; [S3] ndumele-et-al-2026-ckm.pdf, p.7; [S4] ndumele-et-al-2026-ckm.pdf, p.37; [S5] ndumele-et-al-2026-ckm.pdf, p.11</t>
  </si>
  <si>
    <t>INBOX_A-00000-of-00001-15-M1</t>
  </si>
  <si>
    <t>INBOX_A-00000-of-00001-15</t>
  </si>
  <si>
    <t>The patient's symptoms of heavy menstrual bleeding with a large blood clot are not uncommon and can be managed at home. Given her age and medical history, there is no indication of an underlying CKM condition that would require immediate attention. [S1] recommends caution in individuals with risk factors for genital mycotic infections, but this does not apply to the patient's current situation.</t>
  </si>
  <si>
    <t>The patient should be instructed on how to manage her symptoms at home and advised to follow up if they worsen or persist.</t>
  </si>
  <si>
    <t>[S1] ndumele-et-al-2026-ckm.pdf, p.37; [S2] ndumele-et-al-2026-ckm.pdf, p.37; [S3] ndumele-et-al-2026-ckm.pdf, p.99; [S4] ndumele-et-al-2026-ckm.pdf, p.37; [S5] ndumele-et-al-2026-ckm.pdf, p.68</t>
  </si>
  <si>
    <t>INBOX_A-00000-of-00001-16-M1</t>
  </si>
  <si>
    <t>INBOX_A-00000-of-00001-16</t>
  </si>
  <si>
    <t>The patient's frequent urination could be a sign of an underlying issue with their kidneys or bladder, which is concerning given their history of leukocytosis and CKM stage. [S2] The patient's symptoms may also be related to their medication regimen, particularly the potential for kidney function changes associated with RASi and nsMRA. [S5]</t>
  </si>
  <si>
    <t>Schedule an appointment within the next 24-48 hours to further evaluate the patient's symptoms and adjust their treatment plan as needed</t>
  </si>
  <si>
    <t>[S1] ndumele-et-al-2026-ckm.pdf, p.37; [S2] ndumele-et-al-2026-ckm.pdf, p.9; [S3] ndumele-et-al-2026-ckm.pdf, p.37; [S4] ndumele-et-al-2026-ckm.pdf, p.31; [S5] ndumele-et-al-2026-ckm.pdf, p.70</t>
  </si>
  <si>
    <t>INBOX_A-00000-of-00001-17-M1</t>
  </si>
  <si>
    <t>INBOX_A-00000-of-00001-17</t>
  </si>
  <si>
    <t>The patient's history of suspected endocarditis and CKM stage 4, with chronic kidney disease and cardiovascular disease, warrants urgent evaluation. [S2] highlights the importance of monitoring for signs of kidney disease in patients with CKD. The sudden onset of hematuria is a concerning symptom that requires prompt attention.</t>
  </si>
  <si>
    <t>Schedule an appointment with the patient's primary care physician or cardiologist within the next 24-48 hours to evaluate the cause of hematuria and adjust treatment as needed.</t>
  </si>
  <si>
    <t>[S1] ndumele-et-al-2026-ckm.pdf, p.9; [S2] ndumele-et-al-2026-ckm.pdf, p.41; [S3] ndumele-et-al-2026-ckm.pdf, p.31; [S4] ndumele-et-al-2026-ckm.pdf, p.11; [S5] ndumele-et-al-2026-ckm.pdf, p.12</t>
  </si>
  <si>
    <t>INBOX_A-00000-of-00001-18-M1</t>
  </si>
  <si>
    <t>INBOX_A-00000-of-00001-18</t>
  </si>
  <si>
    <t>The patient's complaint of pain in the pubic area, exacerbated by passing gas, stool, or urine, raises concern for potential complications such as genital mycotic infections [S1] or necrotizing fasciitis of the perineum (Fournier gangrene) [S1]. Given the patient's CKM stage 2 status and history of obesity, metabolic risk factors, and CKD, prompt evaluation is necessary to mitigate potential risks. The patient's anxiety also warrants attention.</t>
  </si>
  <si>
    <t>Schedule an appointment with a primary care physician or urologist within the next 24-48 hours for further evaluation and management.</t>
  </si>
  <si>
    <t>[S1] ndumele-et-al-2026-ckm.pdf, p.37; [S2] ndumele-et-al-2026-ckm.pdf, p.37; [S3] ndumele-et-al-2026-ckm.pdf, p.31; [S4] ndumele-et-al-2026-ckm.pdf, p.10; [S5] ndumele-et-al-2026-ckm.pdf, p.8</t>
  </si>
  <si>
    <t>INBOX_A-00000-of-00001-19-M1</t>
  </si>
  <si>
    <t>INBOX_A-00000-of-00001-19</t>
  </si>
  <si>
    <t>The patient's sudden onset of hot flashes and rapid heart rate are concerning for potential cardiac issues, particularly given her history of tachycardia [S1]. Additionally, her obesity and CKM stage 2 status increase her risk for developing HF [S3].</t>
  </si>
  <si>
    <t>Schedule an urgent appointment to evaluate the patient's symptoms and assess for potential cardiac dysfunction.</t>
  </si>
  <si>
    <t>[S1] ndumele-et-al-2026-ckm.pdf, p.46; [S2] ndumele-et-al-2026-ckm.pdf, p.60; [S3] ndumele-et-al-2026-ckm.pdf, p.54; [S4] ndumele-et-al-2026-ckm.pdf, p.71; [S5] ndumele-et-al-2026-ckm.pdf, p.8</t>
  </si>
  <si>
    <t>INBOX_A-00000-of-00001-20-M1</t>
  </si>
  <si>
    <t>INBOX_A-00000-of-00001-20</t>
  </si>
  <si>
    <t>The patient's complaint of nocturia and sleep disturbance is concerning for underlying CKM syndrome progression, particularly given her history of hypertension (EHR) and the association between OSA and CKD [S1]. Additionally, nocturia can be a symptom of CKD stage 2, which she has been diagnosed with (EHR).</t>
  </si>
  <si>
    <t>Schedule an appointment to discuss potential underlying causes of nocturia and sleep disturbance, including OSA screening and evaluation for CKD progression.</t>
  </si>
  <si>
    <t>[S1] ndumele-et-al-2026-ckm.pdf, p.67; [S2] ndumele-et-al-2026-ckm.pdf, p.62; [S3] ndumele-et-al-2026-ckm.pdf, p.33; [S4] ndumele-et-al-2026-ckm.pdf, p.37; [S5] ndumele-et-al-2026-ckm.pdf, p.70</t>
  </si>
  <si>
    <t>INBOX_A-00000-of-00001-21-M1</t>
  </si>
  <si>
    <t>INBOX_A-00000-of-00001-21</t>
  </si>
  <si>
    <t>The patient's report of polyuria and increased urine output is concerning for potential kidney issues, particularly given their history of abnormal transaminases and elevated BP. According to [S3], CKD is a component of CKM syndrome stage 1-3, which increases risk for AF, MI, HF, CKD, and PAD. The patient's current symptoms may indicate worsening kidney function.</t>
  </si>
  <si>
    <t>Schedule an urgent appointment with the primary care physician to assess kidney function and address potential underlying causes of polyuria.</t>
  </si>
  <si>
    <t>[S1] ndumele-et-al-2026-ckm.pdf, p.9; [S2] ndumele-et-al-2026-ckm.pdf, p.20; [S3] ndumele-et-al-2026-ckm.pdf, p.31; [S4] ndumele-et-al-2026-ckm.pdf, p.37; [S5] ndumele-et-al-2026-ckm.pdf, p.62</t>
  </si>
  <si>
    <t>INBOX_A-00000-of-00001-22-M1</t>
  </si>
  <si>
    <t>INBOX_A-00000-of-00001-22</t>
  </si>
  <si>
    <t>The patient's worsening symptoms and inability to tolerate current treatment warrant urgent attention. The presence of multiple comorbidities, including generalized anxiety disorder, bipolar disorder, and migraines, may also impact the management of her menstrual cramps [S1].</t>
  </si>
  <si>
    <t>Schedule an appointment with the doctor within the next 2-3 days to discuss potential treatment options and further evaluation.</t>
  </si>
  <si>
    <t>[S1] ndumele-et-al-2026-ckm.pdf, p.37; [S2] ndumele-et-al-2026-ckm.pdf, p.67; [S3] ndumele-et-al-2026-ckm.pdf, p.31; [S4] ndumele-et-al-2026-ckm.pdf, p.8; [S5] ndumele-et-al-2026-ckm.pdf, p.47</t>
  </si>
  <si>
    <t>INBOX_A-00000-of-00001-23-M1</t>
  </si>
  <si>
    <t>INBOX_A-00000-of-00001-23</t>
  </si>
  <si>
    <t>The patient's sudden onset of sharp pain and shortness of breath after a sneeze is concerning for possible pulmonary embolism, especially given their history of TIA due to embolism [S2]. Additionally, the patient's CKM stage 4 diagnosis with clinical CVD in CKM warrants careful evaluation of any new symptoms [S1].</t>
  </si>
  <si>
    <t>Schedule an urgent appointment within the next 24 hours for further evaluation and management</t>
  </si>
  <si>
    <t>[S1] ndumele-et-al-2026-ckm.pdf, p.41; [S2] ndumele-et-al-2026-ckm.pdf, p.93; [S3] ndumele-et-al-2026-ckm.pdf, p.60; [S4] ndumele-et-al-2026-ckm.pdf, p.107; [S5] ndumele-et-al-2026-ckm.pdf, p.37</t>
  </si>
  <si>
    <t>INBOX_A-00000-of-00001-24-M1</t>
  </si>
  <si>
    <t>INBOX_A-00000-of-00001-24</t>
  </si>
  <si>
    <t>The patient's symptoms of sweaty chest and back may be related to their existing conditions such as anxiety disorder [S2] or adjustment reaction, but the sudden onset warrants further evaluation. The patient's CKM stage is Provisionally Stage 0 and unclassifiable, which does not necessarily indicate a high risk for cardiovascular disease [S3].</t>
  </si>
  <si>
    <t>Schedule an appointment with the doctor to discuss these symptoms and determine the underlying cause.</t>
  </si>
  <si>
    <t>[S1] ndumele-et-al-2026-ckm.pdf, p.37; [S2] ndumele-et-al-2026-ckm.pdf, p.9; [S3] ndumele-et-al-2026-ckm.pdf, p.10; [S4] ndumele-et-al-2026-ckm.pdf, p.31; [S5] ndumele-et-al-2026-ckm.pdf, p.37</t>
  </si>
  <si>
    <t>INBOX_A-00000-of-00001-25-M1</t>
  </si>
  <si>
    <t>INBOX_A-00000-of-00001-25</t>
  </si>
  <si>
    <t>The patient's symptoms of shortness of breath, runny nose, bad cough, and wheezing may indicate a respiratory issue that requires same-day attention. Given the patient's history of obstructive sleep apnea syndrome (OSAS) and anxiety, it is essential to evaluate these symptoms promptly. [S2] emphasizes the importance of monitoring cardiovascular disease risk factors, including respiratory issues.</t>
  </si>
  <si>
    <t>Schedule an urgent appointment for today or as soon as possible to assess and manage the patient's respiratory symptoms.</t>
  </si>
  <si>
    <t>[S1] ndumele-et-al-2026-ckm.pdf, p.37; [S2] ndumele-et-al-2026-ckm.pdf, p.20; [S3] ndumele-et-al-2026-ckm.pdf, p.70; [S4] ndumele-et-al-2026-ckm.pdf, p.37; [S5] ndumele-et-al-2026-ckm.pdf, p.37</t>
  </si>
  <si>
    <t>INBOX_A-00000-of-00001-26-M1</t>
  </si>
  <si>
    <t>INBOX_A-00000-of-00001-26</t>
  </si>
  <si>
    <t>The patient's severe cough and respiratory distress warrant urgent attention. Given their history of obesity, CKM stage 1, and potential sleep apnea risk factors [S2], it is essential to assess the possibility of underlying conditions such as asthma or chronic obstructive pulmonary disease (COPD).</t>
  </si>
  <si>
    <t>Schedule an appointment with a primary care physician within the next 24-48 hours for further evaluation and management of the cough.</t>
  </si>
  <si>
    <t>[S1] ndumele-et-al-2026-ckm.pdf, p.31; [S2] ndumele-et-al-2026-ckm.pdf, p.66; [S3] ndumele-et-al-2026-ckm.pdf, p.67; [S4] ndumele-et-al-2026-ckm.pdf, p.24; [S5] ndumele-et-al-2026-ckm.pdf, p.71</t>
  </si>
  <si>
    <t>The patient's menstrual cycle is irregular due to her multigravida status and advanced maternal age. Given the absence of other symptoms and a confirmed non-pregnant state, this is not an unexpected occurrence. [S4] highlights the increased risk for gestational diabetes mellitus (GDM) in women with prior GDM, but there are no red flags indicating a need for immediate attention.</t>
  </si>
  <si>
    <t>The patient should be instructed on what to do if her menstrual cycle does not resume within a few weeks and encouraged to follow up with her primary care physician if she has any concerns.</t>
  </si>
  <si>
    <t>[S1] ndumele-et-al-2026-ckm.pdf, p.33; [S2] ndumele-et-al-2026-ckm.pdf, p.33; [S3] ndumele-et-al-2026-ckm.pdf, p.69; [S4] ndumele-et-al-2026-ckm.pdf, p.33; [S5] ndumele-et-al-2026-ckm.pdf, p.68</t>
  </si>
  <si>
    <t>EHR + RAG + CKM Staging Not Known</t>
  </si>
  <si>
    <t>The patient's symptoms suggest a possible infection, which warrants same-day evaluation. Given her history of bariatric surgery and potential for malabsorption, it is essential to consider the possibility of an underlying condition such as gastroenteritis or another complication. [S1] recommends caution in patients with gastroparesis, but this patient's symptoms do not clearly indicate gastroparesis.</t>
  </si>
  <si>
    <t>Schedule a same-day appointment for evaluation and potential treatment of her symptoms.</t>
  </si>
  <si>
    <t>[S1] ndumele-et-al-2026-ckm.pdf, p.37; [S2] ndumele-et-al-2026-ckm.pdf, p.37; [S3] ndumele-et-al-2026-ckm.pdf, p.8; [S4] ndumele-et-al-2026-ckm.pdf, p.71; [S5] ndumele-et-al-2026-ckm.pdf, p.65</t>
  </si>
  <si>
    <t>The patient's unexpected bleeding is not immediately life-threatening, but it warrants further evaluation. The patient's age and past-year diagnoses of pregnancy and infertility management suggest a need for CKM health optimization postpartum [S1]. Given the lack of other concerning symptoms or risk factors, this issue can be addressed through self-care instructions.</t>
  </si>
  <si>
    <t>Schedule an appointment with the doctor to discuss the unexpected bleeding and update physical address in the system.</t>
  </si>
  <si>
    <t>[S1] ndumele-et-al-2026-ckm.pdf, p.69; [S2] ndumele-et-al-2026-ckm.pdf, p.69; [S3] ndumele-et-al-2026-ckm.pdf, p.5; [S4] ndumele-et-al-2026-ckm.pdf, p.37; [S5] ndumele-et-al-2026-ckm.pdf, p.99</t>
  </si>
  <si>
    <t>The patient's temperature is within a normal range (100.9¬∞F), and there are no other concerning symptoms or findings in the EHR. According to [S4], stage 0 CKM syndrome includes individuals without CKM syndrome with normal weight, normal glucose, normal blood pressure, normal lipids, normal kidney function, and no evidence of subclinical or clinical CVD; this patient's profile aligns with these criteria.</t>
  </si>
  <si>
    <t>The patient should continue to monitor their temperature and symptoms at home and schedule a routine appointment with their doctor for follow-up in the near future.</t>
  </si>
  <si>
    <t>[S1] ndumele-et-al-2026-ckm.pdf, p.9; [S2] ndumele-et-al-2026-ckm.pdf, p.23; [S3] ndumele-et-al-2026-ckm.pdf, p.25; [S4] ndumele-et-al-2026-ckm.pdf, p.10; [S5] ndumele-et-al-2026-ckm.pdf, p.8</t>
  </si>
  <si>
    <t>The patient's heavy menstrual bleeding and severe cramping are concerning symptoms that require immediate attention. According to [S2], patients with CKM syndrome should be identified and addressed, especially those with hyperglycemia, severe albuminuria, and medications. The patient's iron deficiency anemia due to chronic blood loss may also contribute to these symptoms.</t>
  </si>
  <si>
    <t>Schedule a same-day appointment or visit the nearest urgent care for further evaluation and treatment</t>
  </si>
  <si>
    <t>[S1] ndumele-et-al-2026-ckm.pdf, p.66; [S2] ndumele-et-al-2026-ckm.pdf, p.38; [S3] ndumele-et-al-2026-ckm.pdf, p.62; [S4] ndumele-et-al-2026-ckm.pdf, p.10; [S5] ndumele-et-al-2026-ckm.pdf, p.31</t>
  </si>
  <si>
    <t>The patient's complaint of heavy and painful periods is concerning for potential underlying conditions such as endometrial hyperplasia or even cancer [S1]. Given the patient's age, BMI, and past-year diagnoses (Class 3 severe obesity), she may be at increased risk for complications. The presence of thick and dark blood further raises concern.</t>
  </si>
  <si>
    <t>Schedule an appointment with the patient to discuss her symptoms and potential underlying conditions, and consider ordering diagnostic tests such as a pelvic exam, ultrasound, or endometrial biopsy if necessary.</t>
  </si>
  <si>
    <t>[S1] ndumele-et-al-2026-ckm.pdf, p.37; [S2] ndumele-et-al-2026-ckm.pdf, p.31; [S3] ndumele-et-al-2026-ckm.pdf, p.31; [S4] ndumele-et-al-2026-ckm.pdf, p.37; [S5] ndumele-et-al-2026-ckm.pdf, p.69</t>
  </si>
  <si>
    <t>The patient's symptoms of severe pain and worsening with urination may indicate a potential complication, such as kidney stones or urinary tract infection. Given her history of endometriosis and chronic pelvic pain, it is essential to investigate these symptoms further. [S1] recommends optimizing CKM risk factors before pregnancy, which includes managing hypertension and avoiding therapies that worsen kidney function.</t>
  </si>
  <si>
    <t>Schedule an appointment with the patient within the next 3 days to assess her symptoms and develop a plan for management.</t>
  </si>
  <si>
    <t>The patient's symptoms of chest tightness and shortness of breath are concerning for potential cardiac issues, particularly given her history of SVT and atrial fibrillation [S9]. Additionally, her obesity and OSA may be contributing factors to these symptoms [S4].</t>
  </si>
  <si>
    <t>Schedule an appointment with the patient within the next 24-48 hours to further evaluate these symptoms and consider referral to a cardiologist if necessary.</t>
  </si>
  <si>
    <t>[S1] ndumele-et-al-2026-ckm.pdf, p.98; [S2] ndumele-et-al-2026-ckm.pdf, p.31; [S3] ndumele-et-al-2026-ckm.pdf, p.46; [S4] ndumele-et-al-2026-ckm.pdf, p.67; [S5] ndumele-et-al-2026-ckm.pdf, p.93</t>
  </si>
  <si>
    <t>The patient's symptoms of intermittent burning urethra, frequent urination, severe pain while urinating, and presence of blood in urine are concerning for a potential urinary tract infection or other underlying condition. Given the patient's history of IC (interstitial cystitis) and low vitamin D level [S1], it is essential to investigate these symptoms further. The patient's age and gender also increase her risk for certain conditions.</t>
  </si>
  <si>
    <t>Schedule an urgent appointment with a urologist or primary care physician to evaluate the patient's symptoms and develop a plan to manage them.</t>
  </si>
  <si>
    <t>[S1] ndumele-et-al-2026-ckm.pdf, p.37; [S2] ndumele-et-al-2026-ckm.pdf, p.38; [S3] ndumele-et-al-2026-ckm.pdf, p.70; [S4] ndumele-et-al-2026-ckm.pdf, p.37; [S5] ndumele-et-al-2026-ckm.pdf, p.38</t>
  </si>
  <si>
    <t>The patient's complaint of difficulty starting to pee, despite being able to hold urine, suggests a potential issue with urinary retention or decreased renal function. This is particularly concerning given the patient's history of HFrEF and essential hypertension [S2]. The patient's age and comorbidities also increase their risk for complications.</t>
  </si>
  <si>
    <t>Schedule an urgent appointment to assess the patient's renal function, review medication regimen, and consider adjusting medications as necessary</t>
  </si>
  <si>
    <t>[S1] ndumele-et-al-2026-ckm.pdf, p.20; [S2] ndumele-et-al-2026-ckm.pdf, p.71; [S3] ndumele-et-al-2026-ckm.pdf, p.31; [S4] ndumele-et-al-2026-ckm.pdf, p.37; [S5] ndumele-et-al-2026-ckm.pdf, p.71</t>
  </si>
  <si>
    <t>The patient reports a bad smell in their urine, which warrants further investigation. Given the patient's history of breast cancer and current medications (e.g., OMEPRAZOLE), we should consider potential interactions or side effects [S1]. Additionally, the patient's CKM profile suggests a high risk for cardiovascular disease and kidney disease [S4] [S5]</t>
  </si>
  <si>
    <t>Schedule an appointment with the primary care physician to discuss the urine smell and review medication regimen</t>
  </si>
  <si>
    <t>The patient's complaint of pain in the lower pelvic area is concerning, especially given her history of gestational thrombocytopenia and current pregnancy [S1]. Additionally, the fact that it's keeping her up at night suggests a potential need for urgent attention [S2].</t>
  </si>
  <si>
    <t>Schedule an appointment with the patient within the next 24-48 hours to assess the cause of the pain and provide guidance on management.</t>
  </si>
  <si>
    <t>[S1] ndumele-et-al-2026-ckm.pdf, p.69; [S2] ndumele-et-al-2026-ckm.pdf, p.37; [S3] ndumele-et-al-2026-ckm.pdf, p.84; [S4] ndumele-et-al-2026-ckm.pdf, p.68; [S5] ndumele-et-al-2026-ckm.pdf, p.68</t>
  </si>
  <si>
    <t>The patient's heavy bleeding and increased pad usage are concerning signs of potential postpartum hemorrhage, which is a known complication following delivery. According to [S1], the early postpartum period is a critical window for optimizing women's CKM health, particularly for those with APOs like this patient. Heavy bleeding can be an indicator of underlying issues such as hypertension or cardiovascular disease.</t>
  </si>
  <si>
    <t>Schedule an urgent appointment with her primary care physician to assess and manage her heavy bleeding.</t>
  </si>
  <si>
    <t>The patient's history of severe dysplasia (CIN III) and current clotting during regular periods warrant further evaluation. According to [S5], CKM syndrome stage 2 includes individuals with metabolic risk factors, which may be relevant here. Additionally, [S3] notes the potential for adverse effects such as pancreatitis or acute gallbladder disease.</t>
  </si>
  <si>
    <t>Schedule a follow-up appointment in 1-2 weeks to discuss further evaluation and management of clotting during regular periods.</t>
  </si>
  <si>
    <t>[S1] ndumele-et-al-2026-ckm.pdf, p.84; [S2] ndumele-et-al-2026-ckm.pdf, p.37; [S3] ndumele-et-al-2026-ckm.pdf, p.37; [S4] ndumele-et-al-2026-ckm.pdf, p.31; [S5] ndumele-et-al-2026-ckm.pdf, p.10</t>
  </si>
  <si>
    <t>The patient's high fever and variability in temperature suggest a potential underlying condition that requires medical attention. According to [S5], if symptoms of hyperglycemia are present or when HbA1c or blood glucose levels are very high, referral to an endocrinologist is recommended for further management. The patient's recent past-year diagnosis of chest pain and current medications (none recorded) also warrant urgent evaluation.</t>
  </si>
  <si>
    <t>Schedule a same-day appointment with the CKM care team to assess the patient's condition and determine the best course of action.</t>
  </si>
  <si>
    <t>[S1] ndumele-et-al-2026-ckm.pdf, p.20; [S2] ndumele-et-al-2026-ckm.pdf, p.31; [S3] ndumele-et-al-2026-ckm.pdf, p.4; [S4] ndumele-et-al-2026-ckm.pdf, p.70; [S5] ndumele-et-al-2026-ckm.pdf, p.71</t>
  </si>
  <si>
    <t>The patient's complaint of incomplete urination and persistent dribbling is concerning for a potential urinary tract issue, particularly given her history of Chiari malformation type I and low back pain [S3]. Additionally, the fact that she has never experienced this before suggests an underlying condition that may require prompt attention. The CKM guideline emphasizes the importance of monitoring kidney function after initiation of certain medications [S5].</t>
  </si>
  <si>
    <t>Schedule a same-day appointment to evaluate the patient's urinary symptoms and assess for any potential medication-related effects on renal function.</t>
  </si>
  <si>
    <t>[S1] ndumele-et-al-2026-ckm.pdf, p.9; [S2] ndumele-et-al-2026-ckm.pdf, p.37; [S3] ndumele-et-al-2026-ckm.pdf, p.31; [S4] ndumele-et-al-2026-ckm.pdf, p.37; [S5] ndumele-et-al-2026-ckm.pdf, p.71</t>
  </si>
  <si>
    <t>The patient's fever and diarrhea are concerning symptoms that require prompt attention. Given her history of asthma, it is essential to rule out any potential respiratory or gastrointestinal complications [S2]. Additionally, as a precautionary measure, we should consider the potential for medication side effects given her current treatment regimen.</t>
  </si>
  <si>
    <t>Schedule an appointment with your primary care physician within the next 24-48 hours to assess and manage these symptoms.</t>
  </si>
  <si>
    <t>[S1] ndumele-et-al-2026-ckm.pdf, p.99; [S2] ndumele-et-al-2026-ckm.pdf, p.37; [S3] ndumele-et-al-2026-ckm.pdf, p.31; [S4] ndumele-et-al-2026-ckm.pdf, p.93; [S5] ndumele-et-al-2026-ckm.pdf, p.70</t>
  </si>
  <si>
    <t>The patient's low-grade fever (99.9 - 101.0) is not indicative of a life-threatening condition, and the absence of other major symptoms suggests that this can be managed at home. The patient has a history of NSTEMI, but current EHR data does not indicate any acute cardiac issues [S1].</t>
  </si>
  <si>
    <t>The patient should continue to monitor their temperature and report if it increases or if they experience any new symptoms.</t>
  </si>
  <si>
    <t>[S1] ndumele-et-al-2026-ckm.pdf, p.93; [S2] ndumele-et-al-2026-ckm.pdf, p.13; [S3] ndumele-et-al-2026-ckm.pdf, p.7; [S4] ndumele-et-al-2026-ckm.pdf, p.8; [S5] ndumele-et-al-2026-ckm.pdf, p.46</t>
  </si>
  <si>
    <t>The patient's symptoms of heavy menstrual bleeding with a large blood clot are not uncommon and can often be managed at home. However, it is essential to consider the patient's history of fibromyalgia and potential impact on her menstrual cycle [S1]. Given the absence of any alarming signs or symptoms, this case does not warrant immediate attention.</t>
  </si>
  <si>
    <t>The patient should continue to monitor her bleeding and consider reaching out to her primary care physician for guidance if her symptoms worsen or persist.</t>
  </si>
  <si>
    <t>[S1] ndumele-et-al-2026-ckm.pdf, p.37; [S2] ndumele-et-al-2026-ckm.pdf, p.37; [S3] ndumele-et-al-2026-ckm.pdf, p.37; [S4] ndumele-et-al-2026-ckm.pdf, p.68; [S5] ndumele-et-al-2026-ckm.pdf, p.99</t>
  </si>
  <si>
    <t>The patient's frequent and painful urination could be indicative of a urinary tract infection or other underlying condition, which is concerning given her history of leukocytosis [S1]. Additionally, the potential for impaired oral medication absorption due to delayed gastric emptying [S2] should also be considered. Given the patient's symptoms and medical history, same-day treatment would be beneficial.</t>
  </si>
  <si>
    <t>Schedule an urgent appointment with a doctor or visit an urgent care center to evaluate and treat the underlying cause of her symptoms.</t>
  </si>
  <si>
    <t>[S1] ndumele-et-al-2026-ckm.pdf, p.37; [S2] ndumele-et-al-2026-ckm.pdf, p.37; [S3] ndumele-et-al-2026-ckm.pdf, p.9; [S4] ndumele-et-al-2026-ckm.pdf, p.31; [S5] ndumele-et-al-2026-ckm.pdf, p.70</t>
  </si>
  <si>
    <t>The patient's history of suspected endocarditis and recent hospitalization for bacterial endocarditis [S2] increases the risk of complications. The sudden onset of hematuria, particularly after strenuous exercise, warrants further evaluation to rule out renal or cardiac issues [S3].</t>
  </si>
  <si>
    <t>Schedule an urgent appointment with a cardiologist or nephrologist within the next 24-48 hours for further evaluation and management.</t>
  </si>
  <si>
    <t>[S1] ndumele-et-al-2026-ckm.pdf, p.39; [S2] ndumele-et-al-2026-ckm.pdf, p.41; [S3] ndumele-et-al-2026-ckm.pdf, p.9; [S4] ndumele-et-al-2026-ckm.pdf, p.31; [S5] ndumele-et-al-2026-ckm.pdf, p.12</t>
  </si>
  <si>
    <t>The patient's complaint of pain in the pubic area, exacerbated by passing gas, stool, or urine, raises concern for potential complications such as genital mycotic infections [S1] or necrotizing fasciitis of the perineum (Fournier gangrene) [S1]. Given the patient's history of obesity and multiple comorbidities, including recurrent major depressive episodes and anxiety, it is essential to investigate this symptom promptly. The patient's anxiety level also warrants attention.</t>
  </si>
  <si>
    <t>Schedule an appointment with a primary care physician or urologist within the next 24-48 hours for further evaluation and management of the patient's symptoms.</t>
  </si>
  <si>
    <t>[S1] ndumele-et-al-2026-ckm.pdf, p.37; [S2] ndumele-et-al-2026-ckm.pdf, p.37; [S3] ndumele-et-al-2026-ckm.pdf, p.31; [S4] ndumele-et-al-2026-ckm.pdf, p.8; [S5] ndumele-et-al-2026-ckm.pdf, p.51</t>
  </si>
  <si>
    <t>The patient's sudden onset of hot flashes and rapid heart rate are concerning symptoms that may indicate cardiac dysfunction, particularly given her history of tachycardia and obesity. According to [S1], troponin levels can be considered for patients with obesity, where natriuretic peptides may be low even in the setting of cardiac dysfunction. Given her predicted HF risk is not provided, but she has multiple CKM comorbidities, further evaluation is warranted.</t>
  </si>
  <si>
    <t>Schedule an urgent appointment to assess and manage potential cardiac issues, including troponin levels and natriuretic peptides.</t>
  </si>
  <si>
    <t>[S1] ndumele-et-al-2026-ckm.pdf, p.46; [S2] ndumele-et-al-2026-ckm.pdf, p.60; [S3] ndumele-et-al-2026-ckm.pdf, p.54; [S4] ndumele-et-al-2026-ckm.pdf, p.31; [S5] ndumele-et-al-2026-ckm.pdf, p.71</t>
  </si>
  <si>
    <t>The patient's complaint of persistent nocturia and sleep disturbance warrants urgent attention. Given her history of hypertension (Hypertension) and type 2 diabetes mellitus with hypoglycemia without coma (Type 2 diabetes mellitus with hypoglycemia without coma), it is essential to investigate the underlying cause of these symptoms, which may be related to CKM syndrome progression [S2].</t>
  </si>
  <si>
    <t>Schedule an appointment for same-day evaluation and management of nocturia and sleep disturbance</t>
  </si>
  <si>
    <t>[S1] ndumele-et-al-2026-ckm.pdf, p.37; [S2] ndumele-et-al-2026-ckm.pdf, p.67; [S3] ndumele-et-al-2026-ckm.pdf, p.67; [S4] ndumele-et-al-2026-ckm.pdf, p.33; [S5] ndumele-et-al-2026-ckm.pdf, p.37</t>
  </si>
  <si>
    <t>The patient's report of polyuria and increased urine output is concerning for potential kidney issues, particularly given her history of abnormal transaminases and elevated BP. According to [S3], CKD is a component of CKM syndrome stage 1-3, which increases risk for AF, MI, HF, CKD, and PAD. This warrants same-day evaluation.</t>
  </si>
  <si>
    <t>Schedule an urgent appointment with the patient's primary care physician or cardiologist to assess kidney function and address potential underlying causes.</t>
  </si>
  <si>
    <t>The patient's worsening symptoms and inability to tolerate current treatment warrant urgent attention. The patient's history of PID, generalized anxiety disorder, and bipolar disorder also suggest a complex medical profile that requires careful evaluation [S1].</t>
  </si>
  <si>
    <t>Schedule an appointment with the doctor within the next 2-3 days to discuss potential new treatments and underlying conditions.</t>
  </si>
  <si>
    <t>The patient's sudden onset of sharp pain and popping sensation during sneezing, despite having a cold, raises concern for potential underlying conditions such as pneumothorax or rib fracture [S1]. Given the patient's history of PAF and TIA due to embolism, it is essential to rule out any cardiovascular complications [S2].</t>
  </si>
  <si>
    <t>Schedule an urgent appointment with the CKM care team within the next 24-48 hours for further evaluation and management.</t>
  </si>
  <si>
    <t>[S1] ndumele-et-al-2026-ckm.pdf, p.20; [S2] ndumele-et-al-2026-ckm.pdf, p.93; [S3] ndumele-et-al-2026-ckm.pdf, p.60; [S4] ndumele-et-al-2026-ckm.pdf, p.41; [S5] ndumele-et-al-2026-ckm.pdf, p.107</t>
  </si>
  <si>
    <t>The patient's new symptom of sweaty chest and back may be related to her CKM syndrome stage 2 risk factors, including hypertension (elevated blood pressure reading without diagnosis of hypertension) [S3]. Additionally, the sudden onset of this symptom warrants further evaluation [S1].</t>
  </si>
  <si>
    <t>Schedule a follow-up appointment with the patient within the next week to discuss and investigate the cause of her new symptoms.</t>
  </si>
  <si>
    <t>[S1] ndumele-et-al-2026-ckm.pdf, p.9; [S2] ndumele-et-al-2026-ckm.pdf, p.37; [S3] ndumele-et-al-2026-ckm.pdf, p.10; [S4] ndumele-et-al-2026-ckm.pdf, p.31; [S5] ndumele-et-al-2026-ckm.pdf, p.37</t>
  </si>
  <si>
    <t>The patient's symptoms of shortness of breath, runny nose, bad cough, and wheezing may indicate a respiratory issue that requires same-day attention. Given the patient's history of obstructive sleep apnea syndrome (OSAS) [S1], it is essential to evaluate these symptoms promptly. The patient's current medication list does not suggest any contraindications for immediate evaluation.</t>
  </si>
  <si>
    <t>Schedule an urgent appointment with a doctor today or refer the patient to an urgent care facility if possible.</t>
  </si>
  <si>
    <t>[S1] ndumele-et-al-2026-ckm.pdf, p.20; [S2] ndumele-et-al-2026-ckm.pdf, p.37; [S3] ndumele-et-al-2026-ckm.pdf, p.70; [S4] ndumele-et-al-2026-ckm.pdf, p.37; [S5] ndumele-et-al-2026-ckm.pdf, p.37</t>
  </si>
  <si>
    <t>The patient's severe cough and respiratory distress warrant urgent attention. Given the patient's history of obesity, sleep apnea risk factors (e.g., snoring), and potential OSA prevalence [S2], it is essential to investigate further. The patient's current medications, including lithium carbonate ER 450 MG TABLET, EXTENDED RELEASE, may also be relevant in this context.</t>
  </si>
  <si>
    <t>Schedule an appointment with the CKM care team for same-day evaluation and possible referral to a pulmonologist or sleep specialist</t>
  </si>
  <si>
    <t>[S1] ndumele-et-al-2026-ckm.pdf, p.20; [S2] ndumele-et-al-2026-ckm.pdf, p.67; [S3] ndumele-et-al-2026-ckm.pdf, p.24; [S4] ndumele-et-al-2026-ckm.pdf, p.71; [S5] ndumele-et-al-2026-ckm.pdf, p.37</t>
  </si>
  <si>
    <t>Row Labels</t>
  </si>
  <si>
    <t>Grand Total</t>
  </si>
  <si>
    <t>Column Labels</t>
  </si>
  <si>
    <t>Sum of severity_distance</t>
  </si>
  <si>
    <t>Average of severity_distance</t>
  </si>
  <si>
    <t>SELF_CARE (Not Known)</t>
  </si>
  <si>
    <t>SELF_CARE (Known)</t>
  </si>
  <si>
    <t>FALSE</t>
  </si>
  <si>
    <t>TRUE</t>
  </si>
  <si>
    <t>Count of correct</t>
  </si>
  <si>
    <t>Details for Average of severity_distance - expected: EMERGENT, condition: EHR + RAG + CKM Staging Not Known</t>
  </si>
  <si>
    <t>correct_coded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</si>
</sst>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33" borderId="0" xfId="0" applyFont="1" applyFill="1"/>
    <xf numFmtId="0" fontId="16" fillId="33" borderId="10" xfId="0" applyFont="1" applyFill="1" applyBorder="1"/>
    <xf numFmtId="0" fontId="0" fillId="0" borderId="0" xfId="0" applyAlignment="1">
      <alignment horizontal="left" indent="1"/>
    </xf>
    <xf numFmtId="166" fontId="0" fillId="0" borderId="0" xfId="0" applyNumberFormat="1"/>
    <xf numFmtId="0" fontId="16" fillId="33" borderId="11" xfId="0" applyFont="1" applyFill="1" applyBorder="1" applyAlignment="1">
      <alignment horizontal="left"/>
    </xf>
    <xf numFmtId="166" fontId="16" fillId="33" borderId="11" xfId="0" applyNumberFormat="1" applyFont="1" applyFill="1" applyBorder="1"/>
    <xf numFmtId="0" fontId="0" fillId="35" borderId="0" xfId="0" applyNumberFormat="1" applyFill="1"/>
    <xf numFmtId="0" fontId="16" fillId="0" borderId="0" xfId="0" applyFont="1"/>
    <xf numFmtId="0" fontId="0" fillId="35" borderId="0" xfId="0" applyFill="1"/>
    <xf numFmtId="0" fontId="0" fillId="34" borderId="0" xfId="0"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0.0000"/>
    </dxf>
    <dxf>
      <numFmt numFmtId="166"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rence Salud" refreshedDate="46238.652136111108" createdVersion="8" refreshedVersion="8" minRefreshableVersion="3" recordCount="60" xr:uid="{75ABFA9B-3E4B-A948-A382-74D586283CF5}">
  <cacheSource type="worksheet">
    <worksheetSource ref="A1:T61" sheet="ckm_probe_results_combined_code"/>
  </cacheSource>
  <cacheFields count="19">
    <cacheField name="message_id" numFmtId="0">
      <sharedItems count="30">
        <s v="INBOX_A-00000-of-00001-27-M1"/>
        <s v="INBOX_A-00000-of-00001-28-M1"/>
        <s v="INBOX_A-00000-of-00001-29-M1"/>
        <s v="INBOX_A-00000-of-00001-00-M1"/>
        <s v="INBOX_A-00000-of-00001-01-M1"/>
        <s v="INBOX_A-00000-of-00001-02-M1"/>
        <s v="INBOX_A-00000-of-00001-03-M1"/>
        <s v="INBOX_A-00000-of-00001-04-M1"/>
        <s v="INBOX_A-00000-of-00001-05-M1"/>
        <s v="INBOX_A-00000-of-00001-06-M1"/>
        <s v="INBOX_A-00000-of-00001-07-M1"/>
        <s v="INBOX_A-00000-of-00001-08-M1"/>
        <s v="INBOX_A-00000-of-00001-09-M1"/>
        <s v="INBOX_A-00000-of-00001-10-M1"/>
        <s v="INBOX_A-00000-of-00001-11-M1"/>
        <s v="INBOX_A-00000-of-00001-12-M1"/>
        <s v="INBOX_A-00000-of-00001-13-M1"/>
        <s v="INBOX_A-00000-of-00001-14-M1"/>
        <s v="INBOX_A-00000-of-00001-15-M1"/>
        <s v="INBOX_A-00000-of-00001-16-M1"/>
        <s v="INBOX_A-00000-of-00001-17-M1"/>
        <s v="INBOX_A-00000-of-00001-18-M1"/>
        <s v="INBOX_A-00000-of-00001-19-M1"/>
        <s v="INBOX_A-00000-of-00001-20-M1"/>
        <s v="INBOX_A-00000-of-00001-21-M1"/>
        <s v="INBOX_A-00000-of-00001-22-M1"/>
        <s v="INBOX_A-00000-of-00001-23-M1"/>
        <s v="INBOX_A-00000-of-00001-24-M1"/>
        <s v="INBOX_A-00000-of-00001-25-M1"/>
        <s v="INBOX_A-00000-of-00001-26-M1"/>
      </sharedItems>
    </cacheField>
    <cacheField name="id" numFmtId="0">
      <sharedItems count="30">
        <s v="INBOX_A-00000-of-00001-27"/>
        <s v="INBOX_A-00000-of-00001-28"/>
        <s v="INBOX_A-00000-of-00001-29"/>
        <s v="INBOX_A-00000-of-00001-00"/>
        <s v="INBOX_A-00000-of-00001-01"/>
        <s v="INBOX_A-00000-of-00001-02"/>
        <s v="INBOX_A-00000-of-00001-03"/>
        <s v="INBOX_A-00000-of-00001-04"/>
        <s v="INBOX_A-00000-of-00001-05"/>
        <s v="INBOX_A-00000-of-00001-06"/>
        <s v="INBOX_A-00000-of-00001-07"/>
        <s v="INBOX_A-00000-of-00001-08"/>
        <s v="INBOX_A-00000-of-00001-09"/>
        <s v="INBOX_A-00000-of-00001-10"/>
        <s v="INBOX_A-00000-of-00001-11"/>
        <s v="INBOX_A-00000-of-00001-12"/>
        <s v="INBOX_A-00000-of-00001-13"/>
        <s v="INBOX_A-00000-of-00001-14"/>
        <s v="INBOX_A-00000-of-00001-15"/>
        <s v="INBOX_A-00000-of-00001-16"/>
        <s v="INBOX_A-00000-of-00001-17"/>
        <s v="INBOX_A-00000-of-00001-18"/>
        <s v="INBOX_A-00000-of-00001-19"/>
        <s v="INBOX_A-00000-of-00001-20"/>
        <s v="INBOX_A-00000-of-00001-21"/>
        <s v="INBOX_A-00000-of-00001-22"/>
        <s v="INBOX_A-00000-of-00001-23"/>
        <s v="INBOX_A-00000-of-00001-24"/>
        <s v="INBOX_A-00000-of-00001-25"/>
        <s v="INBOX_A-00000-of-00001-26"/>
      </sharedItems>
    </cacheField>
    <cacheField name="use_ehr" numFmtId="0">
      <sharedItems/>
    </cacheField>
    <cacheField name="use_rag" numFmtId="0">
      <sharedItems/>
    </cacheField>
    <cacheField name="use_ckm_stage" numFmtId="0">
      <sharedItems/>
    </cacheField>
    <cacheField name="predicted" numFmtId="0">
      <sharedItems count="3">
        <s v="SELF_CARE"/>
        <s v="URGENT"/>
        <s v="ROUTINE"/>
      </sharedItems>
    </cacheField>
    <cacheField name="expected" numFmtId="0">
      <sharedItems count="4">
        <s v="SELF_CARE"/>
        <s v="URGENT"/>
        <s v="EMERGENT"/>
        <s v="ROUTINE"/>
      </sharedItems>
    </cacheField>
    <cacheField name="correct" numFmtId="0">
      <sharedItems count="2">
        <b v="1"/>
        <b v="0"/>
      </sharedItems>
    </cacheField>
    <cacheField name="parse_ok" numFmtId="0">
      <sharedItems/>
    </cacheField>
    <cacheField name="severity_distance" numFmtId="0">
      <sharedItems containsSemiMixedTypes="0" containsString="0" containsNumber="1" containsInteger="1" minValue="-2" maxValue="2"/>
    </cacheField>
    <cacheField name="under_triage" numFmtId="0">
      <sharedItems/>
    </cacheField>
    <cacheField name="over_triage" numFmtId="0">
      <sharedItems/>
    </cacheField>
    <cacheField name="rationale" numFmtId="0">
      <sharedItems longText="1"/>
    </cacheField>
    <cacheField name="recommended_action" numFmtId="0">
      <sharedItems/>
    </cacheField>
    <cacheField name="retrieved" numFmtId="0">
      <sharedItems/>
    </cacheField>
    <cacheField name="condition" numFmtId="0">
      <sharedItems count="2">
        <s v="EHR + RAG + CKM Staging Known"/>
        <s v="EHR + RAG + CKM Staging Not Known"/>
      </sharedItems>
    </cacheField>
    <cacheField name="predicted_rank" numFmtId="0">
      <sharedItems containsSemiMixedTypes="0" containsString="0" containsNumber="1" containsInteger="1" minValue="0" maxValue="2"/>
    </cacheField>
    <cacheField name="expected_rank" numFmtId="0">
      <sharedItems containsSemiMixedTypes="0" containsString="0" containsNumber="1" containsInteger="1" minValue="0" maxValue="3"/>
    </cacheField>
    <cacheField name="calculated_severity_distance" numFmtId="0">
      <sharedItems containsSemiMixedTypes="0" containsString="0" containsNumber="1" containsInteger="1" minValue="-2"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b v="1"/>
    <b v="1"/>
    <b v="1"/>
    <x v="0"/>
    <x v="0"/>
    <x v="0"/>
    <b v="1"/>
    <n v="0"/>
    <b v="0"/>
    <b v="0"/>
    <s v="The patient's menstrual cycle is irregular due to her advanced maternal age and multigravida status [S3]. She has a history of gestational diabetes mellitus (GDM) and class 1 obesity, but there are no current symptoms or red flags for an emergent condition. The patient's question about missed period can be addressed with self-care instructions."/>
    <s v="The patient should be instructed to track her menstrual cycle and consider a pregnancy test if she has not had a period within the next week."/>
    <s v="[S1] ndumele-et-al-2026-ckm.pdf, p.33; [S2] ndumele-et-al-2026-ckm.pdf, p.33; [S3] ndumele-et-al-2026-ckm.pdf, p.33; [S4] ndumele-et-al-2026-ckm.pdf, p.69; [S5] ndumele-et-al-2026-ckm.pdf, p.68"/>
    <x v="0"/>
    <n v="0"/>
    <n v="0"/>
    <n v="0"/>
  </r>
  <r>
    <x v="1"/>
    <x v="1"/>
    <b v="1"/>
    <b v="1"/>
    <b v="1"/>
    <x v="1"/>
    <x v="1"/>
    <x v="0"/>
    <b v="1"/>
    <n v="0"/>
    <b v="0"/>
    <b v="0"/>
    <s v="The patient's symptoms suggest a possible infection, which warrants same-day evaluation and potential treatment. Given her history of frequent unifocal PVCs and vasovagal episode, it is essential to rule out any underlying cardiac or metabolic issues contributing to these symptoms. [S1] recommends caution in patients with GI side effects, but the patient's current symptoms do not directly relate to this guideline."/>
    <s v="Schedule an urgent appointment for same-day evaluation and potential treatment of the infection."/>
    <s v="[S1] ndumele-et-al-2026-ckm.pdf, p.37; [S2] ndumele-et-al-2026-ckm.pdf, p.37; [S3] ndumele-et-al-2026-ckm.pdf, p.8; [S4] ndumele-et-al-2026-ckm.pdf, p.65; [S5] ndumele-et-al-2026-ckm.pdf, p.37"/>
    <x v="0"/>
    <n v="2"/>
    <n v="2"/>
    <n v="0"/>
  </r>
  <r>
    <x v="2"/>
    <x v="2"/>
    <b v="1"/>
    <b v="1"/>
    <b v="1"/>
    <x v="0"/>
    <x v="0"/>
    <x v="0"/>
    <b v="1"/>
    <n v="0"/>
    <b v="0"/>
    <b v="0"/>
    <s v="The patient's unexpected bleeding is not immediately life-threatening or severe, but it warrants further evaluation. The patient has a history of infertility and pregnancy complications, which may be relevant to the current situation. According to [S1], women with CKM syndrome stage ‚â•2 should receive interprofessional care team evaluation and monitoring."/>
    <s v="Schedule an appointment for the patient to discuss her unexpected bleeding and update her physical address in the system."/>
    <s v="[S1] ndumele-et-al-2026-ckm.pdf, p.69; [S2] ndumele-et-al-2026-ckm.pdf, p.37; [S3] ndumele-et-al-2026-ckm.pdf, p.69; [S4] ndumele-et-al-2026-ckm.pdf, p.99; [S5] ndumele-et-al-2026-ckm.pdf, p.99"/>
    <x v="0"/>
    <n v="0"/>
    <n v="0"/>
    <n v="0"/>
  </r>
  <r>
    <x v="3"/>
    <x v="3"/>
    <b v="1"/>
    <b v="1"/>
    <b v="1"/>
    <x v="0"/>
    <x v="1"/>
    <x v="1"/>
    <b v="1"/>
    <n v="-2"/>
    <b v="1"/>
    <b v="0"/>
    <s v="The patient's temperature is within a normal range (100.9¬∞F), and there are no other concerning symptoms or findings in the EHR. According to [S4], CKM syndrome stage 2 includes individuals with metabolic risk factors, but this patient does not have any recent lab results indicating hypertriglyceridemia, hypertension, or type 2 diabetes. The patient's current medication list and past-year diagnoses do not suggest an immediate need for urgent attention."/>
    <s v="The patient should continue to monitor their symptoms at home and schedule a routine appointment with their doctor within the next week to discuss any ongoing concerns."/>
    <s v="[S1] ndumele-et-al-2026-ckm.pdf, p.9; [S2] ndumele-et-al-2026-ckm.pdf, p.23; [S3] ndumele-et-al-2026-ckm.pdf, p.25; [S4] ndumele-et-al-2026-ckm.pdf, p.10; [S5] ndumele-et-al-2026-ckm.pdf, p.48"/>
    <x v="0"/>
    <n v="0"/>
    <n v="2"/>
    <n v="-2"/>
  </r>
  <r>
    <x v="4"/>
    <x v="4"/>
    <b v="1"/>
    <b v="1"/>
    <b v="1"/>
    <x v="1"/>
    <x v="2"/>
    <x v="1"/>
    <b v="1"/>
    <n v="-1"/>
    <b v="1"/>
    <b v="0"/>
    <s v="The patient's report of heavy menstrual bleeding and severe cramping warrants urgent attention. According to [S2], patients with CKM syndrome should be identified and addressed, particularly those with hyperglycemia, severe albuminuria, and medications. The patient's EHR indicates a history of iron deficiency anemia due to chronic blood loss and menorrhagia with irregular cycle."/>
    <s v="Schedule an urgent appointment or refer the patient to an urgent care center for immediate evaluation and management"/>
    <s v="[S1] ndumele-et-al-2026-ckm.pdf, p.66; [S2] ndumele-et-al-2026-ckm.pdf, p.38; [S3] ndumele-et-al-2026-ckm.pdf, p.62; [S4] ndumele-et-al-2026-ckm.pdf, p.31; [S5] ndumele-et-al-2026-ckm.pdf, p.10"/>
    <x v="0"/>
    <n v="2"/>
    <n v="3"/>
    <n v="-1"/>
  </r>
  <r>
    <x v="5"/>
    <x v="5"/>
    <b v="1"/>
    <b v="1"/>
    <b v="1"/>
    <x v="1"/>
    <x v="3"/>
    <x v="1"/>
    <b v="1"/>
    <n v="1"/>
    <b v="0"/>
    <b v="1"/>
    <s v="The patient's complaint of heavy and painful periods with thick and dark blood is a red flag for potential underlying conditions such as endometrial hyperplasia or even cancer [S1]. Given the patient's age, BMI (45.0-49.9), and past-year diagnoses of mixed anxiety and depressive disorder, it is essential to investigate this symptom further [S2]."/>
    <s v="Schedule an appointment for the patient to discuss her symptoms in person and consider ordering a pelvic exam and potentially further diagnostic testing."/>
    <s v="[S1] ndumele-et-al-2026-ckm.pdf, p.31; [S2] ndumele-et-al-2026-ckm.pdf, p.37; [S3] ndumele-et-al-2026-ckm.pdf, p.31; [S4] ndumele-et-al-2026-ckm.pdf, p.37; [S5] ndumele-et-al-2026-ckm.pdf, p.46"/>
    <x v="0"/>
    <n v="2"/>
    <n v="1"/>
    <n v="1"/>
  </r>
  <r>
    <x v="6"/>
    <x v="6"/>
    <b v="1"/>
    <b v="1"/>
    <b v="1"/>
    <x v="1"/>
    <x v="0"/>
    <x v="1"/>
    <b v="1"/>
    <n v="2"/>
    <b v="0"/>
    <b v="1"/>
    <s v="The patient's symptoms of severe pain and its worsening with urination are concerning for potential complications, such as kidney stones or urinary tract infections. Given her history of endometriosis and chronic pelvic pain, it is essential to investigate these symptoms further. [S1] recommends optimizing CKM risk factors before pregnancy, which includes addressing any underlying conditions that may impact renal function."/>
    <s v="Schedule an appointment with the patient within the next 3 days to assess her symptoms and develop a plan for managing her pain and potential complications."/>
    <s v="[S1] ndumele-et-al-2026-ckm.pdf, p.69; [S2] ndumele-et-al-2026-ckm.pdf, p.99; [S3] ndumele-et-al-2026-ckm.pdf, p.99; [S4] ndumele-et-al-2026-ckm.pdf, p.68; [S5] ndumele-et-al-2026-ckm.pdf, p.68"/>
    <x v="0"/>
    <n v="2"/>
    <n v="0"/>
    <n v="2"/>
  </r>
  <r>
    <x v="7"/>
    <x v="7"/>
    <b v="1"/>
    <b v="1"/>
    <b v="1"/>
    <x v="1"/>
    <x v="2"/>
    <x v="1"/>
    <b v="1"/>
    <n v="-1"/>
    <b v="1"/>
    <b v="0"/>
    <s v="The patient's symptoms of chest tightness and shortness of breath are concerning for potential cardiac issues, particularly given their history of SVT and morbid obesity with a BMI of 50.0-59.9 [S2]. Additionally, the presence of OSA, which is common in patients with CKM syndrome, may be contributing to these symptoms [S3]."/>
    <s v="Schedule an urgent appointment for further evaluation and management of these symptoms"/>
    <s v="[S1] ndumele-et-al-2026-ckm.pdf, p.31; [S2] ndumele-et-al-2026-ckm.pdf, p.46; [S3] ndumele-et-al-2026-ckm.pdf, p.67; [S4] ndumele-et-al-2026-ckm.pdf, p.93; [S5] ndumele-et-al-2026-ckm.pdf, p.83"/>
    <x v="0"/>
    <n v="2"/>
    <n v="3"/>
    <n v="-1"/>
  </r>
  <r>
    <x v="8"/>
    <x v="8"/>
    <b v="1"/>
    <b v="1"/>
    <b v="1"/>
    <x v="1"/>
    <x v="1"/>
    <x v="0"/>
    <b v="1"/>
    <n v="0"/>
    <b v="0"/>
    <b v="0"/>
    <s v="The patient's symptoms of intermittent hematuria and severe urinary pain are concerning for a possible underlying condition such as interstitial cystitis (IC), which is already present in the patient's EHR. According to [S5], residual albuminuria on CKM therapy remains a strong risk factor for ASCVD, HF, and CKD progression, and reassessment of albuminuria after initiation of drugs that target CKD and CKM syndrome is recommended. The patient's CKM stage 4 diagnosis also warrants careful monitoring of potential adverse effects."/>
    <s v="Schedule an appointment with the patient to further evaluate their symptoms and adjust their treatment plan as needed, including reassessing albuminuria and considering additional pharmacologic interventions."/>
    <s v="[S1] ndumele-et-al-2026-ckm.pdf, p.38; [S2] ndumele-et-al-2026-ckm.pdf, p.70; [S3] ndumele-et-al-2026-ckm.pdf, p.37; [S4] ndumele-et-al-2026-ckm.pdf, p.47; [S5] ndumele-et-al-2026-ckm.pdf, p.71"/>
    <x v="0"/>
    <n v="2"/>
    <n v="2"/>
    <n v="0"/>
  </r>
  <r>
    <x v="9"/>
    <x v="9"/>
    <b v="1"/>
    <b v="1"/>
    <b v="1"/>
    <x v="1"/>
    <x v="0"/>
    <x v="1"/>
    <b v="1"/>
    <n v="2"/>
    <b v="0"/>
    <b v="1"/>
    <s v="The patient's complaint of difficulty starting to pee, particularly with albuminuria as a comorbidity, warrants urgent attention. [S2] suggests reassessing albuminuria after initiation of drugs that target CKD and CKM syndrome, which may be relevant here given the patient's CKD diagnosis. [S4] also highlights residual albuminuria as a strong risk factor for ASCVD, HF, and CKD progression."/>
    <s v="Schedule an appointment with the doctor within the next 3 days to assess the patient's urination difficulty and CKD management"/>
    <s v="[S1] ndumele-et-al-2026-ckm.pdf, p.62; [S2] ndumele-et-al-2026-ckm.pdf, p.71; [S3] ndumele-et-al-2026-ckm.pdf, p.37; [S4] ndumele-et-al-2026-ckm.pdf, p.71; [S5] ndumele-et-al-2026-ckm.pdf, p.38"/>
    <x v="0"/>
    <n v="2"/>
    <n v="0"/>
    <n v="2"/>
  </r>
  <r>
    <x v="10"/>
    <x v="10"/>
    <b v="1"/>
    <b v="1"/>
    <b v="1"/>
    <x v="1"/>
    <x v="0"/>
    <x v="1"/>
    <b v="1"/>
    <n v="2"/>
    <b v="0"/>
    <b v="1"/>
    <s v="The patient's complaint of bad-smelling urine warrants urgent attention, especially given their history of breast cancer and potential for underlying kidney disease [S4]. The CKM stage is provisionally Stage 0, but this finding may indicate a need for further evaluation. Additionally, the patient's use of medications such as losartan and omeprazole may be relevant to the investigation."/>
    <s v="Schedule an appointment with the primary care physician within the next 24-48 hours to investigate the cause of the bad-smelling urine."/>
    <s v="[S1] ndumele-et-al-2026-ckm.pdf, p.37; [S2] ndumele-et-al-2026-ckm.pdf, p.8; [S3] ndumele-et-al-2026-ckm.pdf, p.41; [S4] ndumele-et-al-2026-ckm.pdf, p.9; [S5] ndumele-et-al-2026-ckm.pdf, p.65"/>
    <x v="0"/>
    <n v="2"/>
    <n v="0"/>
    <n v="2"/>
  </r>
  <r>
    <x v="11"/>
    <x v="11"/>
    <b v="1"/>
    <b v="1"/>
    <b v="1"/>
    <x v="1"/>
    <x v="0"/>
    <x v="1"/>
    <b v="1"/>
    <n v="2"/>
    <b v="0"/>
    <b v="1"/>
    <s v="The patient's complaint of pain in the lower pelvic area is concerning, especially given her history of gestational thrombocytopenia and current pregnancy [S1]. The pain is also affecting her sleep, which may indicate a need for prompt evaluation [S4]."/>
    <s v="Schedule an appointment with the patient within the next 24-48 hours to assess the cause of the pelvic pain and address any potential complications related to her pregnancy."/>
    <s v="[S1] ndumele-et-al-2026-ckm.pdf, p.69; [S2] ndumele-et-al-2026-ckm.pdf, p.84; [S3] ndumele-et-al-2026-ckm.pdf, p.37; [S4] ndumele-et-al-2026-ckm.pdf, p.68; [S5] ndumele-et-al-2026-ckm.pdf, p.99"/>
    <x v="0"/>
    <n v="2"/>
    <n v="0"/>
    <n v="2"/>
  </r>
  <r>
    <x v="12"/>
    <x v="12"/>
    <b v="1"/>
    <b v="1"/>
    <b v="1"/>
    <x v="1"/>
    <x v="2"/>
    <x v="1"/>
    <b v="1"/>
    <n v="-1"/>
    <b v="1"/>
    <b v="0"/>
    <s v="The patient is experiencing heavy bleeding and increased menstrual flow after giving birth, which may be a sign of postpartum hemorrhage or other complications. According to [S3], postpartum glucose intolerance is common in women with GDM, but this patient's symptoms are more concerning for a gynecological issue. Given the patient's history of left tubal pregnancy and reactive depression, it is essential to address her current situation promptly."/>
    <s v="Schedule an urgent appointment or same-day visit to assess and manage the patient's heavy bleeding."/>
    <s v="[S1] ndumele-et-al-2026-ckm.pdf, p.69; [S2] ndumele-et-al-2026-ckm.pdf, p.37; [S3] ndumele-et-al-2026-ckm.pdf, p.33; [S4] ndumele-et-al-2026-ckm.pdf, p.99; [S5] ndumele-et-al-2026-ckm.pdf, p.33"/>
    <x v="0"/>
    <n v="2"/>
    <n v="3"/>
    <n v="-1"/>
  </r>
  <r>
    <x v="13"/>
    <x v="13"/>
    <b v="1"/>
    <b v="1"/>
    <b v="1"/>
    <x v="1"/>
    <x v="0"/>
    <x v="1"/>
    <b v="1"/>
    <n v="2"/>
    <b v="0"/>
    <b v="1"/>
    <s v="The patient's report of clotting during her regular periods is a concerning symptom that warrants urgent attention, especially given her history of severe dysplasia of the cervix (CIN III) [S1]. Clotting can be an indicator of underlying cardiovascular disease or other conditions that require prompt evaluation. According to the CKM guidelines, patients with prior gestational diabetes and premenopausal Hispanic women are at increased risk for atherosclerosis [S1]."/>
    <s v="Schedule an appointment within the next 24-48 hours to discuss further evaluation and management of her symptoms."/>
    <s v="[S1] ndumele-et-al-2026-ckm.pdf, p.84; [S2] ndumele-et-al-2026-ckm.pdf, p.37; [S3] ndumele-et-al-2026-ckm.pdf, p.37; [S4] ndumele-et-al-2026-ckm.pdf, p.31; [S5] ndumele-et-al-2026-ckm.pdf, p.8"/>
    <x v="0"/>
    <n v="2"/>
    <n v="0"/>
    <n v="2"/>
  </r>
  <r>
    <x v="14"/>
    <x v="14"/>
    <b v="1"/>
    <b v="1"/>
    <b v="1"/>
    <x v="1"/>
    <x v="3"/>
    <x v="1"/>
    <b v="1"/>
    <n v="1"/>
    <b v="0"/>
    <b v="1"/>
    <s v="The patient's fever is significantly elevated and fluctuating, which may indicate an underlying infection or other serious condition. According to [S2], patients with acute coronary syndrome, CKD, pulmonary embolus, or myopericarditis may present with fever. Given the patient's age and medical history (chest pain in the past year), it is essential to investigate this further."/>
    <s v="Schedule an urgent appointment for the patient to be evaluated by a healthcare provider as soon as possible"/>
    <s v="[S1] ndumele-et-al-2026-ckm.pdf, p.20; [S2] ndumele-et-al-2026-ckm.pdf, p.45; [S3] ndumele-et-al-2026-ckm.pdf, p.45; [S4] ndumele-et-al-2026-ckm.pdf, p.31; [S5] ndumele-et-al-2026-ckm.pdf, p.71"/>
    <x v="0"/>
    <n v="2"/>
    <n v="1"/>
    <n v="1"/>
  </r>
  <r>
    <x v="15"/>
    <x v="15"/>
    <b v="1"/>
    <b v="1"/>
    <b v="1"/>
    <x v="1"/>
    <x v="0"/>
    <x v="1"/>
    <b v="1"/>
    <n v="2"/>
    <b v="0"/>
    <b v="1"/>
    <s v="The patient's complaint of persistent urinary incontinence and dribbling during urination is concerning, especially given her history of Chiari malformation type I [S3] and potential impact on intravascular volume depletion [S3]. Additionally, her CKM stage is provisionally Stage 0 and unclassifiable, making it essential to investigate this issue further. This warrants same-day treatment."/>
    <s v="Schedule an urgent appointment for the patient to discuss her symptoms and undergo a thorough evaluation."/>
    <s v="[S1] ndumele-et-al-2026-ckm.pdf, p.9; [S2] ndumele-et-al-2026-ckm.pdf, p.37; [S3] ndumele-et-al-2026-ckm.pdf, p.37; [S4] ndumele-et-al-2026-ckm.pdf, p.31; [S5] ndumele-et-al-2026-ckm.pdf, p.70"/>
    <x v="0"/>
    <n v="2"/>
    <n v="0"/>
    <n v="2"/>
  </r>
  <r>
    <x v="16"/>
    <x v="16"/>
    <b v="1"/>
    <b v="1"/>
    <b v="1"/>
    <x v="1"/>
    <x v="0"/>
    <x v="1"/>
    <b v="1"/>
    <n v="2"/>
    <b v="0"/>
    <b v="1"/>
    <s v="The patient's fever and diarrhea are concerning symptoms that require prompt attention. According to [S2], prolonged fasting can increase the risk of genital mycotic infections, but in this case, the patient is experiencing gastrointestinal issues. Given the patient's age (30-35) and past-year diagnoses (Allergic rhinitis, unspecified seasonality), it is essential to rule out any underlying conditions that may be contributing to these symptoms."/>
    <s v="Schedule an appointment with a doctor within the next 24 hours to assess and manage the patient's fever, diarrhea, and headache."/>
    <s v="[S1] ndumele-et-al-2026-ckm.pdf, p.99; [S2] ndumele-et-al-2026-ckm.pdf, p.37; [S3] ndumele-et-al-2026-ckm.pdf, p.31; [S4] ndumele-et-al-2026-ckm.pdf, p.70; [S5] ndumele-et-al-2026-ckm.pdf, p.37"/>
    <x v="0"/>
    <n v="2"/>
    <n v="0"/>
    <n v="2"/>
  </r>
  <r>
    <x v="17"/>
    <x v="17"/>
    <b v="1"/>
    <b v="1"/>
    <b v="1"/>
    <x v="0"/>
    <x v="0"/>
    <x v="0"/>
    <b v="1"/>
    <n v="0"/>
    <b v="0"/>
    <b v="0"/>
    <s v="The patient's low-grade fever (99.9 - 101.0) is not indicative of a life-threatening issue [S1]. Given the patient's age and medical history, including NSTEMI and hypertension, it is essential to monitor their condition closely, but immediate attention is not required."/>
    <s v="Monitor JG's condition remotely and advise them on self-care measures for managing low-grade fever."/>
    <s v="[S1] ndumele-et-al-2026-ckm.pdf, p.72; [S2] ndumele-et-al-2026-ckm.pdf, p.46; [S3] ndumele-et-al-2026-ckm.pdf, p.7; [S4] ndumele-et-al-2026-ckm.pdf, p.37; [S5] ndumele-et-al-2026-ckm.pdf, p.11"/>
    <x v="0"/>
    <n v="0"/>
    <n v="0"/>
    <n v="0"/>
  </r>
  <r>
    <x v="18"/>
    <x v="18"/>
    <b v="1"/>
    <b v="1"/>
    <b v="1"/>
    <x v="0"/>
    <x v="0"/>
    <x v="0"/>
    <b v="1"/>
    <n v="0"/>
    <b v="0"/>
    <b v="0"/>
    <s v="The patient's symptoms of heavy menstrual bleeding with a large blood clot are not uncommon and can be managed at home. Given her age and medical history, there is no indication of an underlying CKM condition that would require immediate attention. [S1] recommends caution in individuals with risk factors for genital mycotic infections, but this does not apply to the patient's current situation."/>
    <s v="The patient should be instructed on how to manage her symptoms at home and advised to follow up if they worsen or persist."/>
    <s v="[S1] ndumele-et-al-2026-ckm.pdf, p.37; [S2] ndumele-et-al-2026-ckm.pdf, p.37; [S3] ndumele-et-al-2026-ckm.pdf, p.99; [S4] ndumele-et-al-2026-ckm.pdf, p.37; [S5] ndumele-et-al-2026-ckm.pdf, p.68"/>
    <x v="0"/>
    <n v="0"/>
    <n v="0"/>
    <n v="0"/>
  </r>
  <r>
    <x v="19"/>
    <x v="19"/>
    <b v="1"/>
    <b v="1"/>
    <b v="1"/>
    <x v="1"/>
    <x v="0"/>
    <x v="1"/>
    <b v="1"/>
    <n v="2"/>
    <b v="0"/>
    <b v="1"/>
    <s v="The patient's frequent urination could be a sign of an underlying issue with their kidneys or bladder, which is concerning given their history of leukocytosis and CKM stage. [S2] The patient's symptoms may also be related to their medication regimen, particularly the potential for kidney function changes associated with RASi and nsMRA. [S5]"/>
    <s v="Schedule an appointment within the next 24-48 hours to further evaluate the patient's symptoms and adjust their treatment plan as needed"/>
    <s v="[S1] ndumele-et-al-2026-ckm.pdf, p.37; [S2] ndumele-et-al-2026-ckm.pdf, p.9; [S3] ndumele-et-al-2026-ckm.pdf, p.37; [S4] ndumele-et-al-2026-ckm.pdf, p.31; [S5] ndumele-et-al-2026-ckm.pdf, p.70"/>
    <x v="0"/>
    <n v="2"/>
    <n v="0"/>
    <n v="2"/>
  </r>
  <r>
    <x v="20"/>
    <x v="20"/>
    <b v="1"/>
    <b v="1"/>
    <b v="1"/>
    <x v="1"/>
    <x v="0"/>
    <x v="1"/>
    <b v="1"/>
    <n v="2"/>
    <b v="0"/>
    <b v="1"/>
    <s v="The patient's history of suspected endocarditis and CKM stage 4, with chronic kidney disease and cardiovascular disease, warrants urgent evaluation. [S2] highlights the importance of monitoring for signs of kidney disease in patients with CKD. The sudden onset of hematuria is a concerning symptom that requires prompt attention."/>
    <s v="Schedule an appointment with the patient's primary care physician or cardiologist within the next 24-48 hours to evaluate the cause of hematuria and adjust treatment as needed."/>
    <s v="[S1] ndumele-et-al-2026-ckm.pdf, p.9; [S2] ndumele-et-al-2026-ckm.pdf, p.41; [S3] ndumele-et-al-2026-ckm.pdf, p.31; [S4] ndumele-et-al-2026-ckm.pdf, p.11; [S5] ndumele-et-al-2026-ckm.pdf, p.12"/>
    <x v="0"/>
    <n v="2"/>
    <n v="0"/>
    <n v="2"/>
  </r>
  <r>
    <x v="21"/>
    <x v="21"/>
    <b v="1"/>
    <b v="1"/>
    <b v="1"/>
    <x v="1"/>
    <x v="3"/>
    <x v="1"/>
    <b v="1"/>
    <n v="1"/>
    <b v="0"/>
    <b v="1"/>
    <s v="The patient's complaint of pain in the pubic area, exacerbated by passing gas, stool, or urine, raises concern for potential complications such as genital mycotic infections [S1] or necrotizing fasciitis of the perineum (Fournier gangrene) [S1]. Given the patient's CKM stage 2 status and history of obesity, metabolic risk factors, and CKD, prompt evaluation is necessary to mitigate potential risks. The patient's anxiety also warrants attention."/>
    <s v="Schedule an appointment with a primary care physician or urologist within the next 24-48 hours for further evaluation and management."/>
    <s v="[S1] ndumele-et-al-2026-ckm.pdf, p.37; [S2] ndumele-et-al-2026-ckm.pdf, p.37; [S3] ndumele-et-al-2026-ckm.pdf, p.31; [S4] ndumele-et-al-2026-ckm.pdf, p.10; [S5] ndumele-et-al-2026-ckm.pdf, p.8"/>
    <x v="0"/>
    <n v="2"/>
    <n v="1"/>
    <n v="1"/>
  </r>
  <r>
    <x v="22"/>
    <x v="22"/>
    <b v="1"/>
    <b v="1"/>
    <b v="1"/>
    <x v="1"/>
    <x v="3"/>
    <x v="1"/>
    <b v="1"/>
    <n v="1"/>
    <b v="0"/>
    <b v="1"/>
    <s v="The patient's sudden onset of hot flashes and rapid heart rate are concerning for potential cardiac issues, particularly given her history of tachycardia [S1]. Additionally, her obesity and CKM stage 2 status increase her risk for developing HF [S3]."/>
    <s v="Schedule an urgent appointment to evaluate the patient's symptoms and assess for potential cardiac dysfunction."/>
    <s v="[S1] ndumele-et-al-2026-ckm.pdf, p.46; [S2] ndumele-et-al-2026-ckm.pdf, p.60; [S3] ndumele-et-al-2026-ckm.pdf, p.54; [S4] ndumele-et-al-2026-ckm.pdf, p.71; [S5] ndumele-et-al-2026-ckm.pdf, p.8"/>
    <x v="0"/>
    <n v="2"/>
    <n v="1"/>
    <n v="1"/>
  </r>
  <r>
    <x v="23"/>
    <x v="23"/>
    <b v="1"/>
    <b v="1"/>
    <b v="1"/>
    <x v="1"/>
    <x v="0"/>
    <x v="1"/>
    <b v="1"/>
    <n v="2"/>
    <b v="0"/>
    <b v="1"/>
    <s v="The patient's complaint of nocturia and sleep disturbance is concerning for underlying CKM syndrome progression, particularly given her history of hypertension (EHR) and the association between OSA and CKD [S1]. Additionally, nocturia can be a symptom of CKD stage 2, which she has been diagnosed with (EHR)."/>
    <s v="Schedule an appointment to discuss potential underlying causes of nocturia and sleep disturbance, including OSA screening and evaluation for CKD progression."/>
    <s v="[S1] ndumele-et-al-2026-ckm.pdf, p.67; [S2] ndumele-et-al-2026-ckm.pdf, p.62; [S3] ndumele-et-al-2026-ckm.pdf, p.33; [S4] ndumele-et-al-2026-ckm.pdf, p.37; [S5] ndumele-et-al-2026-ckm.pdf, p.70"/>
    <x v="0"/>
    <n v="2"/>
    <n v="0"/>
    <n v="2"/>
  </r>
  <r>
    <x v="24"/>
    <x v="24"/>
    <b v="1"/>
    <b v="1"/>
    <b v="1"/>
    <x v="1"/>
    <x v="1"/>
    <x v="0"/>
    <b v="1"/>
    <n v="0"/>
    <b v="0"/>
    <b v="0"/>
    <s v="The patient's report of polyuria and increased urine output is concerning for potential kidney issues, particularly given their history of abnormal transaminases and elevated BP. According to [S3], CKD is a component of CKM syndrome stage 1-3, which increases risk for AF, MI, HF, CKD, and PAD. The patient's current symptoms may indicate worsening kidney function."/>
    <s v="Schedule an urgent appointment with the primary care physician to assess kidney function and address potential underlying causes of polyuria."/>
    <s v="[S1] ndumele-et-al-2026-ckm.pdf, p.9; [S2] ndumele-et-al-2026-ckm.pdf, p.20; [S3] ndumele-et-al-2026-ckm.pdf, p.31; [S4] ndumele-et-al-2026-ckm.pdf, p.37; [S5] ndumele-et-al-2026-ckm.pdf, p.62"/>
    <x v="0"/>
    <n v="2"/>
    <n v="2"/>
    <n v="0"/>
  </r>
  <r>
    <x v="25"/>
    <x v="25"/>
    <b v="1"/>
    <b v="1"/>
    <b v="1"/>
    <x v="1"/>
    <x v="3"/>
    <x v="1"/>
    <b v="1"/>
    <n v="1"/>
    <b v="0"/>
    <b v="1"/>
    <s v="The patient's worsening symptoms and inability to tolerate current treatment warrant urgent attention. The presence of multiple comorbidities, including generalized anxiety disorder, bipolar disorder, and migraines, may also impact the management of her menstrual cramps [S1]."/>
    <s v="Schedule an appointment with the doctor within the next 2-3 days to discuss potential treatment options and further evaluation."/>
    <s v="[S1] ndumele-et-al-2026-ckm.pdf, p.37; [S2] ndumele-et-al-2026-ckm.pdf, p.67; [S3] ndumele-et-al-2026-ckm.pdf, p.31; [S4] ndumele-et-al-2026-ckm.pdf, p.8; [S5] ndumele-et-al-2026-ckm.pdf, p.47"/>
    <x v="0"/>
    <n v="2"/>
    <n v="1"/>
    <n v="1"/>
  </r>
  <r>
    <x v="26"/>
    <x v="26"/>
    <b v="1"/>
    <b v="1"/>
    <b v="1"/>
    <x v="1"/>
    <x v="1"/>
    <x v="0"/>
    <b v="1"/>
    <n v="0"/>
    <b v="0"/>
    <b v="0"/>
    <s v="The patient's sudden onset of sharp pain and shortness of breath after a sneeze is concerning for possible pulmonary embolism, especially given their history of TIA due to embolism [S2]. Additionally, the patient's CKM stage 4 diagnosis with clinical CVD in CKM warrants careful evaluation of any new symptoms [S1]."/>
    <s v="Schedule an urgent appointment within the next 24 hours for further evaluation and management"/>
    <s v="[S1] ndumele-et-al-2026-ckm.pdf, p.41; [S2] ndumele-et-al-2026-ckm.pdf, p.93; [S3] ndumele-et-al-2026-ckm.pdf, p.60; [S4] ndumele-et-al-2026-ckm.pdf, p.107; [S5] ndumele-et-al-2026-ckm.pdf, p.37"/>
    <x v="0"/>
    <n v="2"/>
    <n v="2"/>
    <n v="0"/>
  </r>
  <r>
    <x v="27"/>
    <x v="27"/>
    <b v="1"/>
    <b v="1"/>
    <b v="1"/>
    <x v="2"/>
    <x v="0"/>
    <x v="1"/>
    <b v="1"/>
    <n v="1"/>
    <b v="0"/>
    <b v="1"/>
    <s v="The patient's symptoms of sweaty chest and back may be related to their existing conditions such as anxiety disorder [S2] or adjustment reaction, but the sudden onset warrants further evaluation. The patient's CKM stage is Provisionally Stage 0 and unclassifiable, which does not necessarily indicate a high risk for cardiovascular disease [S3]."/>
    <s v="Schedule an appointment with the doctor to discuss these symptoms and determine the underlying cause."/>
    <s v="[S1] ndumele-et-al-2026-ckm.pdf, p.37; [S2] ndumele-et-al-2026-ckm.pdf, p.9; [S3] ndumele-et-al-2026-ckm.pdf, p.10; [S4] ndumele-et-al-2026-ckm.pdf, p.31; [S5] ndumele-et-al-2026-ckm.pdf, p.37"/>
    <x v="0"/>
    <n v="1"/>
    <n v="0"/>
    <n v="1"/>
  </r>
  <r>
    <x v="28"/>
    <x v="28"/>
    <b v="1"/>
    <b v="1"/>
    <b v="1"/>
    <x v="1"/>
    <x v="2"/>
    <x v="1"/>
    <b v="1"/>
    <n v="-1"/>
    <b v="1"/>
    <b v="0"/>
    <s v="The patient's symptoms of shortness of breath, runny nose, bad cough, and wheezing may indicate a respiratory issue that requires same-day attention. Given the patient's history of obstructive sleep apnea syndrome (OSAS) and anxiety, it is essential to evaluate these symptoms promptly. [S2] emphasizes the importance of monitoring cardiovascular disease risk factors, including respiratory issues."/>
    <s v="Schedule an urgent appointment for today or as soon as possible to assess and manage the patient's respiratory symptoms."/>
    <s v="[S1] ndumele-et-al-2026-ckm.pdf, p.37; [S2] ndumele-et-al-2026-ckm.pdf, p.20; [S3] ndumele-et-al-2026-ckm.pdf, p.70; [S4] ndumele-et-al-2026-ckm.pdf, p.37; [S5] ndumele-et-al-2026-ckm.pdf, p.37"/>
    <x v="0"/>
    <n v="2"/>
    <n v="3"/>
    <n v="-1"/>
  </r>
  <r>
    <x v="29"/>
    <x v="29"/>
    <b v="1"/>
    <b v="1"/>
    <b v="1"/>
    <x v="1"/>
    <x v="2"/>
    <x v="1"/>
    <b v="1"/>
    <n v="-1"/>
    <b v="1"/>
    <b v="0"/>
    <s v="The patient's severe cough and respiratory distress warrant urgent attention. Given their history of obesity, CKM stage 1, and potential sleep apnea risk factors [S2], it is essential to assess the possibility of underlying conditions such as asthma or chronic obstructive pulmonary disease (COPD)."/>
    <s v="Schedule an appointment with a primary care physician within the next 24-48 hours for further evaluation and management of the cough."/>
    <s v="[S1] ndumele-et-al-2026-ckm.pdf, p.31; [S2] ndumele-et-al-2026-ckm.pdf, p.66; [S3] ndumele-et-al-2026-ckm.pdf, p.67; [S4] ndumele-et-al-2026-ckm.pdf, p.24; [S5] ndumele-et-al-2026-ckm.pdf, p.71"/>
    <x v="0"/>
    <n v="2"/>
    <n v="3"/>
    <n v="-1"/>
  </r>
  <r>
    <x v="0"/>
    <x v="0"/>
    <b v="1"/>
    <b v="1"/>
    <b v="0"/>
    <x v="0"/>
    <x v="0"/>
    <x v="0"/>
    <b v="1"/>
    <n v="0"/>
    <b v="0"/>
    <b v="0"/>
    <s v="The patient's menstrual cycle is irregular due to her multigravida status and advanced maternal age. Given the absence of other symptoms and a confirmed non-pregnant state, this is not an unexpected occurrence. [S4] highlights the increased risk for gestational diabetes mellitus (GDM) in women with prior GDM, but there are no red flags indicating a need for immediate attention."/>
    <s v="The patient should be instructed on what to do if her menstrual cycle does not resume within a few weeks and encouraged to follow up with her primary care physician if she has any concerns."/>
    <s v="[S1] ndumele-et-al-2026-ckm.pdf, p.33; [S2] ndumele-et-al-2026-ckm.pdf, p.33; [S3] ndumele-et-al-2026-ckm.pdf, p.69; [S4] ndumele-et-al-2026-ckm.pdf, p.33; [S5] ndumele-et-al-2026-ckm.pdf, p.68"/>
    <x v="1"/>
    <n v="0"/>
    <n v="0"/>
    <n v="0"/>
  </r>
  <r>
    <x v="1"/>
    <x v="1"/>
    <b v="1"/>
    <b v="1"/>
    <b v="0"/>
    <x v="1"/>
    <x v="1"/>
    <x v="0"/>
    <b v="1"/>
    <n v="0"/>
    <b v="0"/>
    <b v="0"/>
    <s v="The patient's symptoms suggest a possible infection, which warrants same-day evaluation. Given her history of bariatric surgery and potential for malabsorption, it is essential to consider the possibility of an underlying condition such as gastroenteritis or another complication. [S1] recommends caution in patients with gastroparesis, but this patient's symptoms do not clearly indicate gastroparesis."/>
    <s v="Schedule a same-day appointment for evaluation and potential treatment of her symptoms."/>
    <s v="[S1] ndumele-et-al-2026-ckm.pdf, p.37; [S2] ndumele-et-al-2026-ckm.pdf, p.37; [S3] ndumele-et-al-2026-ckm.pdf, p.8; [S4] ndumele-et-al-2026-ckm.pdf, p.71; [S5] ndumele-et-al-2026-ckm.pdf, p.65"/>
    <x v="1"/>
    <n v="2"/>
    <n v="2"/>
    <n v="0"/>
  </r>
  <r>
    <x v="2"/>
    <x v="2"/>
    <b v="1"/>
    <b v="1"/>
    <b v="0"/>
    <x v="0"/>
    <x v="0"/>
    <x v="0"/>
    <b v="1"/>
    <n v="0"/>
    <b v="0"/>
    <b v="0"/>
    <s v="The patient's unexpected bleeding is not immediately life-threatening, but it warrants further evaluation. The patient's age and past-year diagnoses of pregnancy and infertility management suggest a need for CKM health optimization postpartum [S1]. Given the lack of other concerning symptoms or risk factors, this issue can be addressed through self-care instructions."/>
    <s v="Schedule an appointment with the doctor to discuss the unexpected bleeding and update physical address in the system."/>
    <s v="[S1] ndumele-et-al-2026-ckm.pdf, p.69; [S2] ndumele-et-al-2026-ckm.pdf, p.69; [S3] ndumele-et-al-2026-ckm.pdf, p.5; [S4] ndumele-et-al-2026-ckm.pdf, p.37; [S5] ndumele-et-al-2026-ckm.pdf, p.99"/>
    <x v="1"/>
    <n v="0"/>
    <n v="0"/>
    <n v="0"/>
  </r>
  <r>
    <x v="3"/>
    <x v="3"/>
    <b v="1"/>
    <b v="1"/>
    <b v="0"/>
    <x v="0"/>
    <x v="1"/>
    <x v="1"/>
    <b v="1"/>
    <n v="-2"/>
    <b v="1"/>
    <b v="0"/>
    <s v="The patient's temperature is within a normal range (100.9¬∞F), and there are no other concerning symptoms or findings in the EHR. According to [S4], stage 0 CKM syndrome includes individuals without CKM syndrome with normal weight, normal glucose, normal blood pressure, normal lipids, normal kidney function, and no evidence of subclinical or clinical CVD; this patient's profile aligns with these criteria."/>
    <s v="The patient should continue to monitor their temperature and symptoms at home and schedule a routine appointment with their doctor for follow-up in the near future."/>
    <s v="[S1] ndumele-et-al-2026-ckm.pdf, p.9; [S2] ndumele-et-al-2026-ckm.pdf, p.23; [S3] ndumele-et-al-2026-ckm.pdf, p.25; [S4] ndumele-et-al-2026-ckm.pdf, p.10; [S5] ndumele-et-al-2026-ckm.pdf, p.8"/>
    <x v="1"/>
    <n v="0"/>
    <n v="2"/>
    <n v="-2"/>
  </r>
  <r>
    <x v="4"/>
    <x v="4"/>
    <b v="1"/>
    <b v="1"/>
    <b v="0"/>
    <x v="1"/>
    <x v="2"/>
    <x v="1"/>
    <b v="1"/>
    <n v="-1"/>
    <b v="1"/>
    <b v="0"/>
    <s v="The patient's heavy menstrual bleeding and severe cramping are concerning symptoms that require immediate attention. According to [S2], patients with CKM syndrome should be identified and addressed, especially those with hyperglycemia, severe albuminuria, and medications. The patient's iron deficiency anemia due to chronic blood loss may also contribute to these symptoms."/>
    <s v="Schedule a same-day appointment or visit the nearest urgent care for further evaluation and treatment"/>
    <s v="[S1] ndumele-et-al-2026-ckm.pdf, p.66; [S2] ndumele-et-al-2026-ckm.pdf, p.38; [S3] ndumele-et-al-2026-ckm.pdf, p.62; [S4] ndumele-et-al-2026-ckm.pdf, p.10; [S5] ndumele-et-al-2026-ckm.pdf, p.31"/>
    <x v="1"/>
    <n v="2"/>
    <n v="3"/>
    <n v="-1"/>
  </r>
  <r>
    <x v="5"/>
    <x v="5"/>
    <b v="1"/>
    <b v="1"/>
    <b v="0"/>
    <x v="1"/>
    <x v="3"/>
    <x v="1"/>
    <b v="1"/>
    <n v="1"/>
    <b v="0"/>
    <b v="1"/>
    <s v="The patient's complaint of heavy and painful periods is concerning for potential underlying conditions such as endometrial hyperplasia or even cancer [S1]. Given the patient's age, BMI, and past-year diagnoses (Class 3 severe obesity), she may be at increased risk for complications. The presence of thick and dark blood further raises concern."/>
    <s v="Schedule an appointment with the patient to discuss her symptoms and potential underlying conditions, and consider ordering diagnostic tests such as a pelvic exam, ultrasound, or endometrial biopsy if necessary."/>
    <s v="[S1] ndumele-et-al-2026-ckm.pdf, p.37; [S2] ndumele-et-al-2026-ckm.pdf, p.31; [S3] ndumele-et-al-2026-ckm.pdf, p.31; [S4] ndumele-et-al-2026-ckm.pdf, p.37; [S5] ndumele-et-al-2026-ckm.pdf, p.69"/>
    <x v="1"/>
    <n v="2"/>
    <n v="1"/>
    <n v="1"/>
  </r>
  <r>
    <x v="6"/>
    <x v="6"/>
    <b v="1"/>
    <b v="1"/>
    <b v="0"/>
    <x v="1"/>
    <x v="0"/>
    <x v="1"/>
    <b v="1"/>
    <n v="2"/>
    <b v="0"/>
    <b v="1"/>
    <s v="The patient's symptoms of severe pain and worsening with urination may indicate a potential complication, such as kidney stones or urinary tract infection. Given her history of endometriosis and chronic pelvic pain, it is essential to investigate these symptoms further. [S1] recommends optimizing CKM risk factors before pregnancy, which includes managing hypertension and avoiding therapies that worsen kidney function."/>
    <s v="Schedule an appointment with the patient within the next 3 days to assess her symptoms and develop a plan for management."/>
    <s v="[S1] ndumele-et-al-2026-ckm.pdf, p.69; [S2] ndumele-et-al-2026-ckm.pdf, p.99; [S3] ndumele-et-al-2026-ckm.pdf, p.99; [S4] ndumele-et-al-2026-ckm.pdf, p.68; [S5] ndumele-et-al-2026-ckm.pdf, p.68"/>
    <x v="1"/>
    <n v="2"/>
    <n v="0"/>
    <n v="2"/>
  </r>
  <r>
    <x v="7"/>
    <x v="7"/>
    <b v="1"/>
    <b v="1"/>
    <b v="0"/>
    <x v="1"/>
    <x v="2"/>
    <x v="1"/>
    <b v="1"/>
    <n v="-1"/>
    <b v="1"/>
    <b v="0"/>
    <s v="The patient's symptoms of chest tightness and shortness of breath are concerning for potential cardiac issues, particularly given her history of SVT and atrial fibrillation [S9]. Additionally, her obesity and OSA may be contributing factors to these symptoms [S4]."/>
    <s v="Schedule an appointment with the patient within the next 24-48 hours to further evaluate these symptoms and consider referral to a cardiologist if necessary."/>
    <s v="[S1] ndumele-et-al-2026-ckm.pdf, p.98; [S2] ndumele-et-al-2026-ckm.pdf, p.31; [S3] ndumele-et-al-2026-ckm.pdf, p.46; [S4] ndumele-et-al-2026-ckm.pdf, p.67; [S5] ndumele-et-al-2026-ckm.pdf, p.93"/>
    <x v="1"/>
    <n v="2"/>
    <n v="3"/>
    <n v="-1"/>
  </r>
  <r>
    <x v="8"/>
    <x v="8"/>
    <b v="1"/>
    <b v="1"/>
    <b v="0"/>
    <x v="1"/>
    <x v="1"/>
    <x v="0"/>
    <b v="1"/>
    <n v="0"/>
    <b v="0"/>
    <b v="0"/>
    <s v="The patient's symptoms of intermittent burning urethra, frequent urination, severe pain while urinating, and presence of blood in urine are concerning for a potential urinary tract infection or other underlying condition. Given the patient's history of IC (interstitial cystitis) and low vitamin D level [S1], it is essential to investigate these symptoms further. The patient's age and gender also increase her risk for certain conditions."/>
    <s v="Schedule an urgent appointment with a urologist or primary care physician to evaluate the patient's symptoms and develop a plan to manage them."/>
    <s v="[S1] ndumele-et-al-2026-ckm.pdf, p.37; [S2] ndumele-et-al-2026-ckm.pdf, p.38; [S3] ndumele-et-al-2026-ckm.pdf, p.70; [S4] ndumele-et-al-2026-ckm.pdf, p.37; [S5] ndumele-et-al-2026-ckm.pdf, p.38"/>
    <x v="1"/>
    <n v="2"/>
    <n v="2"/>
    <n v="0"/>
  </r>
  <r>
    <x v="9"/>
    <x v="9"/>
    <b v="1"/>
    <b v="1"/>
    <b v="0"/>
    <x v="1"/>
    <x v="0"/>
    <x v="1"/>
    <b v="1"/>
    <n v="2"/>
    <b v="0"/>
    <b v="1"/>
    <s v="The patient's complaint of difficulty starting to pee, despite being able to hold urine, suggests a potential issue with urinary retention or decreased renal function. This is particularly concerning given the patient's history of HFrEF and essential hypertension [S2]. The patient's age and comorbidities also increase their risk for complications."/>
    <s v="Schedule an urgent appointment to assess the patient's renal function, review medication regimen, and consider adjusting medications as necessary"/>
    <s v="[S1] ndumele-et-al-2026-ckm.pdf, p.20; [S2] ndumele-et-al-2026-ckm.pdf, p.71; [S3] ndumele-et-al-2026-ckm.pdf, p.31; [S4] ndumele-et-al-2026-ckm.pdf, p.37; [S5] ndumele-et-al-2026-ckm.pdf, p.71"/>
    <x v="1"/>
    <n v="2"/>
    <n v="0"/>
    <n v="2"/>
  </r>
  <r>
    <x v="10"/>
    <x v="10"/>
    <b v="1"/>
    <b v="1"/>
    <b v="0"/>
    <x v="2"/>
    <x v="0"/>
    <x v="1"/>
    <b v="1"/>
    <n v="1"/>
    <b v="0"/>
    <b v="1"/>
    <s v="The patient reports a bad smell in their urine, which warrants further investigation. Given the patient's history of breast cancer and current medications (e.g., OMEPRAZOLE), we should consider potential interactions or side effects [S1]. Additionally, the patient's CKM profile suggests a high risk for cardiovascular disease and kidney disease [S4] [S5]"/>
    <s v="Schedule an appointment with the primary care physician to discuss the urine smell and review medication regimen"/>
    <s v="[S1] ndumele-et-al-2026-ckm.pdf, p.37; [S2] ndumele-et-al-2026-ckm.pdf, p.8; [S3] ndumele-et-al-2026-ckm.pdf, p.41; [S4] ndumele-et-al-2026-ckm.pdf, p.9; [S5] ndumele-et-al-2026-ckm.pdf, p.65"/>
    <x v="1"/>
    <n v="1"/>
    <n v="0"/>
    <n v="1"/>
  </r>
  <r>
    <x v="11"/>
    <x v="11"/>
    <b v="1"/>
    <b v="1"/>
    <b v="0"/>
    <x v="1"/>
    <x v="0"/>
    <x v="1"/>
    <b v="1"/>
    <n v="2"/>
    <b v="0"/>
    <b v="1"/>
    <s v="The patient's complaint of pain in the lower pelvic area is concerning, especially given her history of gestational thrombocytopenia and current pregnancy [S1]. Additionally, the fact that it's keeping her up at night suggests a potential need for urgent attention [S2]."/>
    <s v="Schedule an appointment with the patient within the next 24-48 hours to assess the cause of the pain and provide guidance on management."/>
    <s v="[S1] ndumele-et-al-2026-ckm.pdf, p.69; [S2] ndumele-et-al-2026-ckm.pdf, p.37; [S3] ndumele-et-al-2026-ckm.pdf, p.84; [S4] ndumele-et-al-2026-ckm.pdf, p.68; [S5] ndumele-et-al-2026-ckm.pdf, p.68"/>
    <x v="1"/>
    <n v="2"/>
    <n v="0"/>
    <n v="2"/>
  </r>
  <r>
    <x v="12"/>
    <x v="12"/>
    <b v="1"/>
    <b v="1"/>
    <b v="0"/>
    <x v="1"/>
    <x v="2"/>
    <x v="1"/>
    <b v="1"/>
    <n v="-1"/>
    <b v="1"/>
    <b v="0"/>
    <s v="The patient's heavy bleeding and increased pad usage are concerning signs of potential postpartum hemorrhage, which is a known complication following delivery. According to [S1], the early postpartum period is a critical window for optimizing women's CKM health, particularly for those with APOs like this patient. Heavy bleeding can be an indicator of underlying issues such as hypertension or cardiovascular disease."/>
    <s v="Schedule an urgent appointment with her primary care physician to assess and manage her heavy bleeding."/>
    <s v="[S1] ndumele-et-al-2026-ckm.pdf, p.69; [S2] ndumele-et-al-2026-ckm.pdf, p.37; [S3] ndumele-et-al-2026-ckm.pdf, p.33; [S4] ndumele-et-al-2026-ckm.pdf, p.99; [S5] ndumele-et-al-2026-ckm.pdf, p.33"/>
    <x v="1"/>
    <n v="2"/>
    <n v="3"/>
    <n v="-1"/>
  </r>
  <r>
    <x v="13"/>
    <x v="13"/>
    <b v="1"/>
    <b v="1"/>
    <b v="0"/>
    <x v="2"/>
    <x v="0"/>
    <x v="1"/>
    <b v="1"/>
    <n v="1"/>
    <b v="0"/>
    <b v="1"/>
    <s v="The patient's history of severe dysplasia (CIN III) and current clotting during regular periods warrant further evaluation. According to [S5], CKM syndrome stage 2 includes individuals with metabolic risk factors, which may be relevant here. Additionally, [S3] notes the potential for adverse effects such as pancreatitis or acute gallbladder disease."/>
    <s v="Schedule a follow-up appointment in 1-2 weeks to discuss further evaluation and management of clotting during regular periods."/>
    <s v="[S1] ndumele-et-al-2026-ckm.pdf, p.84; [S2] ndumele-et-al-2026-ckm.pdf, p.37; [S3] ndumele-et-al-2026-ckm.pdf, p.37; [S4] ndumele-et-al-2026-ckm.pdf, p.31; [S5] ndumele-et-al-2026-ckm.pdf, p.10"/>
    <x v="1"/>
    <n v="1"/>
    <n v="0"/>
    <n v="1"/>
  </r>
  <r>
    <x v="14"/>
    <x v="14"/>
    <b v="1"/>
    <b v="1"/>
    <b v="0"/>
    <x v="1"/>
    <x v="3"/>
    <x v="1"/>
    <b v="1"/>
    <n v="1"/>
    <b v="0"/>
    <b v="1"/>
    <s v="The patient's high fever and variability in temperature suggest a potential underlying condition that requires medical attention. According to [S5], if symptoms of hyperglycemia are present or when HbA1c or blood glucose levels are very high, referral to an endocrinologist is recommended for further management. The patient's recent past-year diagnosis of chest pain and current medications (none recorded) also warrant urgent evaluation."/>
    <s v="Schedule a same-day appointment with the CKM care team to assess the patient's condition and determine the best course of action."/>
    <s v="[S1] ndumele-et-al-2026-ckm.pdf, p.20; [S2] ndumele-et-al-2026-ckm.pdf, p.31; [S3] ndumele-et-al-2026-ckm.pdf, p.4; [S4] ndumele-et-al-2026-ckm.pdf, p.70; [S5] ndumele-et-al-2026-ckm.pdf, p.71"/>
    <x v="1"/>
    <n v="2"/>
    <n v="1"/>
    <n v="1"/>
  </r>
  <r>
    <x v="15"/>
    <x v="15"/>
    <b v="1"/>
    <b v="1"/>
    <b v="0"/>
    <x v="1"/>
    <x v="0"/>
    <x v="1"/>
    <b v="1"/>
    <n v="2"/>
    <b v="0"/>
    <b v="1"/>
    <s v="The patient's complaint of incomplete urination and persistent dribbling is concerning for a potential urinary tract issue, particularly given her history of Chiari malformation type I and low back pain [S3]. Additionally, the fact that she has never experienced this before suggests an underlying condition that may require prompt attention. The CKM guideline emphasizes the importance of monitoring kidney function after initiation of certain medications [S5]."/>
    <s v="Schedule a same-day appointment to evaluate the patient's urinary symptoms and assess for any potential medication-related effects on renal function."/>
    <s v="[S1] ndumele-et-al-2026-ckm.pdf, p.9; [S2] ndumele-et-al-2026-ckm.pdf, p.37; [S3] ndumele-et-al-2026-ckm.pdf, p.31; [S4] ndumele-et-al-2026-ckm.pdf, p.37; [S5] ndumele-et-al-2026-ckm.pdf, p.71"/>
    <x v="1"/>
    <n v="2"/>
    <n v="0"/>
    <n v="2"/>
  </r>
  <r>
    <x v="16"/>
    <x v="16"/>
    <b v="1"/>
    <b v="1"/>
    <b v="0"/>
    <x v="1"/>
    <x v="0"/>
    <x v="1"/>
    <b v="1"/>
    <n v="2"/>
    <b v="0"/>
    <b v="1"/>
    <s v="The patient's fever and diarrhea are concerning symptoms that require prompt attention. Given her history of asthma, it is essential to rule out any potential respiratory or gastrointestinal complications [S2]. Additionally, as a precautionary measure, we should consider the potential for medication side effects given her current treatment regimen."/>
    <s v="Schedule an appointment with your primary care physician within the next 24-48 hours to assess and manage these symptoms."/>
    <s v="[S1] ndumele-et-al-2026-ckm.pdf, p.99; [S2] ndumele-et-al-2026-ckm.pdf, p.37; [S3] ndumele-et-al-2026-ckm.pdf, p.31; [S4] ndumele-et-al-2026-ckm.pdf, p.93; [S5] ndumele-et-al-2026-ckm.pdf, p.70"/>
    <x v="1"/>
    <n v="2"/>
    <n v="0"/>
    <n v="2"/>
  </r>
  <r>
    <x v="17"/>
    <x v="17"/>
    <b v="1"/>
    <b v="1"/>
    <b v="0"/>
    <x v="0"/>
    <x v="0"/>
    <x v="0"/>
    <b v="1"/>
    <n v="0"/>
    <b v="0"/>
    <b v="0"/>
    <s v="The patient's low-grade fever (99.9 - 101.0) is not indicative of a life-threatening condition, and the absence of other major symptoms suggests that this can be managed at home. The patient has a history of NSTEMI, but current EHR data does not indicate any acute cardiac issues [S1]."/>
    <s v="The patient should continue to monitor their temperature and report if it increases or if they experience any new symptoms."/>
    <s v="[S1] ndumele-et-al-2026-ckm.pdf, p.93; [S2] ndumele-et-al-2026-ckm.pdf, p.13; [S3] ndumele-et-al-2026-ckm.pdf, p.7; [S4] ndumele-et-al-2026-ckm.pdf, p.8; [S5] ndumele-et-al-2026-ckm.pdf, p.46"/>
    <x v="1"/>
    <n v="0"/>
    <n v="0"/>
    <n v="0"/>
  </r>
  <r>
    <x v="18"/>
    <x v="18"/>
    <b v="1"/>
    <b v="1"/>
    <b v="0"/>
    <x v="0"/>
    <x v="0"/>
    <x v="0"/>
    <b v="1"/>
    <n v="0"/>
    <b v="0"/>
    <b v="0"/>
    <s v="The patient's symptoms of heavy menstrual bleeding with a large blood clot are not uncommon and can often be managed at home. However, it is essential to consider the patient's history of fibromyalgia and potential impact on her menstrual cycle [S1]. Given the absence of any alarming signs or symptoms, this case does not warrant immediate attention."/>
    <s v="The patient should continue to monitor her bleeding and consider reaching out to her primary care physician for guidance if her symptoms worsen or persist."/>
    <s v="[S1] ndumele-et-al-2026-ckm.pdf, p.37; [S2] ndumele-et-al-2026-ckm.pdf, p.37; [S3] ndumele-et-al-2026-ckm.pdf, p.37; [S4] ndumele-et-al-2026-ckm.pdf, p.68; [S5] ndumele-et-al-2026-ckm.pdf, p.99"/>
    <x v="1"/>
    <n v="0"/>
    <n v="0"/>
    <n v="0"/>
  </r>
  <r>
    <x v="19"/>
    <x v="19"/>
    <b v="1"/>
    <b v="1"/>
    <b v="0"/>
    <x v="1"/>
    <x v="0"/>
    <x v="1"/>
    <b v="1"/>
    <n v="2"/>
    <b v="0"/>
    <b v="1"/>
    <s v="The patient's frequent and painful urination could be indicative of a urinary tract infection or other underlying condition, which is concerning given her history of leukocytosis [S1]. Additionally, the potential for impaired oral medication absorption due to delayed gastric emptying [S2] should also be considered. Given the patient's symptoms and medical history, same-day treatment would be beneficial."/>
    <s v="Schedule an urgent appointment with a doctor or visit an urgent care center to evaluate and treat the underlying cause of her symptoms."/>
    <s v="[S1] ndumele-et-al-2026-ckm.pdf, p.37; [S2] ndumele-et-al-2026-ckm.pdf, p.37; [S3] ndumele-et-al-2026-ckm.pdf, p.9; [S4] ndumele-et-al-2026-ckm.pdf, p.31; [S5] ndumele-et-al-2026-ckm.pdf, p.70"/>
    <x v="1"/>
    <n v="2"/>
    <n v="0"/>
    <n v="2"/>
  </r>
  <r>
    <x v="20"/>
    <x v="20"/>
    <b v="1"/>
    <b v="1"/>
    <b v="0"/>
    <x v="1"/>
    <x v="0"/>
    <x v="1"/>
    <b v="1"/>
    <n v="2"/>
    <b v="0"/>
    <b v="1"/>
    <s v="The patient's history of suspected endocarditis and recent hospitalization for bacterial endocarditis [S2] increases the risk of complications. The sudden onset of hematuria, particularly after strenuous exercise, warrants further evaluation to rule out renal or cardiac issues [S3]."/>
    <s v="Schedule an urgent appointment with a cardiologist or nephrologist within the next 24-48 hours for further evaluation and management."/>
    <s v="[S1] ndumele-et-al-2026-ckm.pdf, p.39; [S2] ndumele-et-al-2026-ckm.pdf, p.41; [S3] ndumele-et-al-2026-ckm.pdf, p.9; [S4] ndumele-et-al-2026-ckm.pdf, p.31; [S5] ndumele-et-al-2026-ckm.pdf, p.12"/>
    <x v="1"/>
    <n v="2"/>
    <n v="0"/>
    <n v="2"/>
  </r>
  <r>
    <x v="21"/>
    <x v="21"/>
    <b v="1"/>
    <b v="1"/>
    <b v="0"/>
    <x v="1"/>
    <x v="3"/>
    <x v="1"/>
    <b v="1"/>
    <n v="1"/>
    <b v="0"/>
    <b v="1"/>
    <s v="The patient's complaint of pain in the pubic area, exacerbated by passing gas, stool, or urine, raises concern for potential complications such as genital mycotic infections [S1] or necrotizing fasciitis of the perineum (Fournier gangrene) [S1]. Given the patient's history of obesity and multiple comorbidities, including recurrent major depressive episodes and anxiety, it is essential to investigate this symptom promptly. The patient's anxiety level also warrants attention."/>
    <s v="Schedule an appointment with a primary care physician or urologist within the next 24-48 hours for further evaluation and management of the patient's symptoms."/>
    <s v="[S1] ndumele-et-al-2026-ckm.pdf, p.37; [S2] ndumele-et-al-2026-ckm.pdf, p.37; [S3] ndumele-et-al-2026-ckm.pdf, p.31; [S4] ndumele-et-al-2026-ckm.pdf, p.8; [S5] ndumele-et-al-2026-ckm.pdf, p.51"/>
    <x v="1"/>
    <n v="2"/>
    <n v="1"/>
    <n v="1"/>
  </r>
  <r>
    <x v="22"/>
    <x v="22"/>
    <b v="1"/>
    <b v="1"/>
    <b v="0"/>
    <x v="1"/>
    <x v="3"/>
    <x v="1"/>
    <b v="1"/>
    <n v="1"/>
    <b v="0"/>
    <b v="1"/>
    <s v="The patient's sudden onset of hot flashes and rapid heart rate are concerning symptoms that may indicate cardiac dysfunction, particularly given her history of tachycardia and obesity. According to [S1], troponin levels can be considered for patients with obesity, where natriuretic peptides may be low even in the setting of cardiac dysfunction. Given her predicted HF risk is not provided, but she has multiple CKM comorbidities, further evaluation is warranted."/>
    <s v="Schedule an urgent appointment to assess and manage potential cardiac issues, including troponin levels and natriuretic peptides."/>
    <s v="[S1] ndumele-et-al-2026-ckm.pdf, p.46; [S2] ndumele-et-al-2026-ckm.pdf, p.60; [S3] ndumele-et-al-2026-ckm.pdf, p.54; [S4] ndumele-et-al-2026-ckm.pdf, p.31; [S5] ndumele-et-al-2026-ckm.pdf, p.71"/>
    <x v="1"/>
    <n v="2"/>
    <n v="1"/>
    <n v="1"/>
  </r>
  <r>
    <x v="23"/>
    <x v="23"/>
    <b v="1"/>
    <b v="1"/>
    <b v="0"/>
    <x v="1"/>
    <x v="0"/>
    <x v="1"/>
    <b v="1"/>
    <n v="2"/>
    <b v="0"/>
    <b v="1"/>
    <s v="The patient's complaint of persistent nocturia and sleep disturbance warrants urgent attention. Given her history of hypertension (Hypertension) and type 2 diabetes mellitus with hypoglycemia without coma (Type 2 diabetes mellitus with hypoglycemia without coma), it is essential to investigate the underlying cause of these symptoms, which may be related to CKM syndrome progression [S2]."/>
    <s v="Schedule an appointment for same-day evaluation and management of nocturia and sleep disturbance"/>
    <s v="[S1] ndumele-et-al-2026-ckm.pdf, p.37; [S2] ndumele-et-al-2026-ckm.pdf, p.67; [S3] ndumele-et-al-2026-ckm.pdf, p.67; [S4] ndumele-et-al-2026-ckm.pdf, p.33; [S5] ndumele-et-al-2026-ckm.pdf, p.37"/>
    <x v="1"/>
    <n v="2"/>
    <n v="0"/>
    <n v="2"/>
  </r>
  <r>
    <x v="24"/>
    <x v="24"/>
    <b v="1"/>
    <b v="1"/>
    <b v="0"/>
    <x v="1"/>
    <x v="1"/>
    <x v="0"/>
    <b v="1"/>
    <n v="0"/>
    <b v="0"/>
    <b v="0"/>
    <s v="The patient's report of polyuria and increased urine output is concerning for potential kidney issues, particularly given her history of abnormal transaminases and elevated BP. According to [S3], CKD is a component of CKM syndrome stage 1-3, which increases risk for AF, MI, HF, CKD, and PAD. This warrants same-day evaluation."/>
    <s v="Schedule an urgent appointment with the patient's primary care physician or cardiologist to assess kidney function and address potential underlying causes."/>
    <s v="[S1] ndumele-et-al-2026-ckm.pdf, p.9; [S2] ndumele-et-al-2026-ckm.pdf, p.20; [S3] ndumele-et-al-2026-ckm.pdf, p.31; [S4] ndumele-et-al-2026-ckm.pdf, p.37; [S5] ndumele-et-al-2026-ckm.pdf, p.62"/>
    <x v="1"/>
    <n v="2"/>
    <n v="2"/>
    <n v="0"/>
  </r>
  <r>
    <x v="25"/>
    <x v="25"/>
    <b v="1"/>
    <b v="1"/>
    <b v="0"/>
    <x v="1"/>
    <x v="3"/>
    <x v="1"/>
    <b v="1"/>
    <n v="1"/>
    <b v="0"/>
    <b v="1"/>
    <s v="The patient's worsening symptoms and inability to tolerate current treatment warrant urgent attention. The patient's history of PID, generalized anxiety disorder, and bipolar disorder also suggest a complex medical profile that requires careful evaluation [S1]."/>
    <s v="Schedule an appointment with the doctor within the next 2-3 days to discuss potential new treatments and underlying conditions."/>
    <s v="[S1] ndumele-et-al-2026-ckm.pdf, p.37; [S2] ndumele-et-al-2026-ckm.pdf, p.67; [S3] ndumele-et-al-2026-ckm.pdf, p.31; [S4] ndumele-et-al-2026-ckm.pdf, p.8; [S5] ndumele-et-al-2026-ckm.pdf, p.47"/>
    <x v="1"/>
    <n v="2"/>
    <n v="1"/>
    <n v="1"/>
  </r>
  <r>
    <x v="26"/>
    <x v="26"/>
    <b v="1"/>
    <b v="1"/>
    <b v="0"/>
    <x v="1"/>
    <x v="1"/>
    <x v="0"/>
    <b v="1"/>
    <n v="0"/>
    <b v="0"/>
    <b v="0"/>
    <s v="The patient's sudden onset of sharp pain and popping sensation during sneezing, despite having a cold, raises concern for potential underlying conditions such as pneumothorax or rib fracture [S1]. Given the patient's history of PAF and TIA due to embolism, it is essential to rule out any cardiovascular complications [S2]."/>
    <s v="Schedule an urgent appointment with the CKM care team within the next 24-48 hours for further evaluation and management."/>
    <s v="[S1] ndumele-et-al-2026-ckm.pdf, p.20; [S2] ndumele-et-al-2026-ckm.pdf, p.93; [S3] ndumele-et-al-2026-ckm.pdf, p.60; [S4] ndumele-et-al-2026-ckm.pdf, p.41; [S5] ndumele-et-al-2026-ckm.pdf, p.107"/>
    <x v="1"/>
    <n v="2"/>
    <n v="2"/>
    <n v="0"/>
  </r>
  <r>
    <x v="27"/>
    <x v="27"/>
    <b v="1"/>
    <b v="1"/>
    <b v="0"/>
    <x v="2"/>
    <x v="0"/>
    <x v="1"/>
    <b v="1"/>
    <n v="1"/>
    <b v="0"/>
    <b v="1"/>
    <s v="The patient's new symptom of sweaty chest and back may be related to her CKM syndrome stage 2 risk factors, including hypertension (elevated blood pressure reading without diagnosis of hypertension) [S3]. Additionally, the sudden onset of this symptom warrants further evaluation [S1]."/>
    <s v="Schedule a follow-up appointment with the patient within the next week to discuss and investigate the cause of her new symptoms."/>
    <s v="[S1] ndumele-et-al-2026-ckm.pdf, p.9; [S2] ndumele-et-al-2026-ckm.pdf, p.37; [S3] ndumele-et-al-2026-ckm.pdf, p.10; [S4] ndumele-et-al-2026-ckm.pdf, p.31; [S5] ndumele-et-al-2026-ckm.pdf, p.37"/>
    <x v="1"/>
    <n v="1"/>
    <n v="0"/>
    <n v="1"/>
  </r>
  <r>
    <x v="28"/>
    <x v="28"/>
    <b v="1"/>
    <b v="1"/>
    <b v="0"/>
    <x v="1"/>
    <x v="2"/>
    <x v="1"/>
    <b v="1"/>
    <n v="-1"/>
    <b v="1"/>
    <b v="0"/>
    <s v="The patient's symptoms of shortness of breath, runny nose, bad cough, and wheezing may indicate a respiratory issue that requires same-day attention. Given the patient's history of obstructive sleep apnea syndrome (OSAS) [S1], it is essential to evaluate these symptoms promptly. The patient's current medication list does not suggest any contraindications for immediate evaluation."/>
    <s v="Schedule an urgent appointment with a doctor today or refer the patient to an urgent care facility if possible."/>
    <s v="[S1] ndumele-et-al-2026-ckm.pdf, p.20; [S2] ndumele-et-al-2026-ckm.pdf, p.37; [S3] ndumele-et-al-2026-ckm.pdf, p.70; [S4] ndumele-et-al-2026-ckm.pdf, p.37; [S5] ndumele-et-al-2026-ckm.pdf, p.37"/>
    <x v="1"/>
    <n v="2"/>
    <n v="3"/>
    <n v="-1"/>
  </r>
  <r>
    <x v="29"/>
    <x v="29"/>
    <b v="1"/>
    <b v="1"/>
    <b v="0"/>
    <x v="1"/>
    <x v="2"/>
    <x v="1"/>
    <b v="1"/>
    <n v="-1"/>
    <b v="1"/>
    <b v="0"/>
    <s v="The patient's severe cough and respiratory distress warrant urgent attention. Given the patient's history of obesity, sleep apnea risk factors (e.g., snoring), and potential OSA prevalence [S2], it is essential to investigate further. The patient's current medications, including lithium carbonate ER 450 MG TABLET, EXTENDED RELEASE, may also be relevant in this context."/>
    <s v="Schedule an appointment with the CKM care team for same-day evaluation and possible referral to a pulmonologist or sleep specialist"/>
    <s v="[S1] ndumele-et-al-2026-ckm.pdf, p.20; [S2] ndumele-et-al-2026-ckm.pdf, p.67; [S3] ndumele-et-al-2026-ckm.pdf, p.24; [S4] ndumele-et-al-2026-ckm.pdf, p.71; [S5] ndumele-et-al-2026-ckm.pdf, p.37"/>
    <x v="1"/>
    <n v="2"/>
    <n v="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510D46-9DEB-5F4B-AEDD-AAF6DF2F5396}" name="PivotTable4"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D35" firstHeaderRow="1" firstDataRow="2" firstDataCol="1"/>
  <pivotFields count="19">
    <pivotField showAll="0">
      <items count="31">
        <item x="3"/>
        <item x="4"/>
        <item x="5"/>
        <item x="6"/>
        <item x="7"/>
        <item x="8"/>
        <item x="9"/>
        <item x="10"/>
        <item x="11"/>
        <item x="12"/>
        <item x="13"/>
        <item x="14"/>
        <item x="15"/>
        <item x="16"/>
        <item x="17"/>
        <item x="18"/>
        <item x="19"/>
        <item x="20"/>
        <item x="21"/>
        <item x="22"/>
        <item x="23"/>
        <item x="24"/>
        <item x="25"/>
        <item x="26"/>
        <item x="27"/>
        <item x="28"/>
        <item x="29"/>
        <item x="0"/>
        <item x="1"/>
        <item x="2"/>
        <item t="default"/>
      </items>
    </pivotField>
    <pivotField axis="axisRow" showAll="0">
      <items count="31">
        <item x="3"/>
        <item x="4"/>
        <item x="5"/>
        <item x="6"/>
        <item x="7"/>
        <item x="8"/>
        <item x="9"/>
        <item x="10"/>
        <item x="11"/>
        <item x="12"/>
        <item x="13"/>
        <item x="14"/>
        <item x="15"/>
        <item x="16"/>
        <item x="17"/>
        <item x="18"/>
        <item x="19"/>
        <item x="20"/>
        <item x="21"/>
        <item x="22"/>
        <item x="23"/>
        <item x="24"/>
        <item x="25"/>
        <item x="26"/>
        <item x="27"/>
        <item x="28"/>
        <item x="29"/>
        <item x="0"/>
        <item x="1"/>
        <item x="2"/>
        <item t="default"/>
      </items>
    </pivotField>
    <pivotField showAll="0"/>
    <pivotField showAll="0"/>
    <pivotField showAll="0"/>
    <pivotField showAll="0">
      <items count="4">
        <item x="2"/>
        <item x="0"/>
        <item x="1"/>
        <item t="default"/>
      </items>
    </pivotField>
    <pivotField showAll="0">
      <items count="5">
        <item x="2"/>
        <item x="3"/>
        <item x="0"/>
        <item x="1"/>
        <item t="default"/>
      </items>
    </pivotField>
    <pivotField multipleItemSelectionAllowed="1" showAll="0">
      <items count="3">
        <item x="1"/>
        <item x="0"/>
        <item t="default"/>
      </items>
    </pivotField>
    <pivotField showAll="0"/>
    <pivotField dataField="1" showAll="0"/>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5"/>
  </colFields>
  <colItems count="3">
    <i>
      <x/>
    </i>
    <i>
      <x v="1"/>
    </i>
    <i t="grand">
      <x/>
    </i>
  </colItems>
  <dataFields count="1">
    <dataField name="Sum of severity_distan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2460B0-BDE8-C141-BBA0-053D555D53D3}"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F73" firstHeaderRow="1" firstDataRow="2" firstDataCol="1" rowPageCount="1" colPageCount="1"/>
  <pivotFields count="19">
    <pivotField showAll="0"/>
    <pivotField axis="axisRow" showAll="0">
      <items count="31">
        <item x="3"/>
        <item x="4"/>
        <item x="5"/>
        <item x="6"/>
        <item x="7"/>
        <item x="8"/>
        <item x="9"/>
        <item x="10"/>
        <item x="11"/>
        <item x="12"/>
        <item x="13"/>
        <item x="14"/>
        <item x="15"/>
        <item x="16"/>
        <item x="17"/>
        <item x="18"/>
        <item x="19"/>
        <item x="20"/>
        <item x="21"/>
        <item x="22"/>
        <item x="23"/>
        <item x="24"/>
        <item x="25"/>
        <item x="26"/>
        <item x="27"/>
        <item x="28"/>
        <item x="29"/>
        <item x="0"/>
        <item x="1"/>
        <item x="2"/>
        <item t="default"/>
      </items>
    </pivotField>
    <pivotField showAll="0"/>
    <pivotField showAll="0"/>
    <pivotField showAll="0"/>
    <pivotField showAll="0">
      <items count="4">
        <item x="2"/>
        <item x="0"/>
        <item x="1"/>
        <item t="default"/>
      </items>
    </pivotField>
    <pivotField axis="axisCol" showAll="0">
      <items count="5">
        <item x="2"/>
        <item x="3"/>
        <item x="0"/>
        <item x="1"/>
        <item t="default"/>
      </items>
    </pivotField>
    <pivotField showAll="0"/>
    <pivotField showAll="0"/>
    <pivotField dataField="1"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6"/>
  </colFields>
  <colItems count="5">
    <i>
      <x/>
    </i>
    <i>
      <x v="1"/>
    </i>
    <i>
      <x v="2"/>
    </i>
    <i>
      <x v="3"/>
    </i>
    <i t="grand">
      <x/>
    </i>
  </colItems>
  <pageFields count="1">
    <pageField fld="15" hier="-1"/>
  </pageFields>
  <dataFields count="1">
    <dataField name="Average of severity_distance" fld="9" subtotal="average" baseField="0" baseItem="0"/>
  </dataFields>
  <formats count="1">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C4853C-5296-114C-BF7F-7D2F44FBC8C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35" firstHeaderRow="1" firstDataRow="2" firstDataCol="1" rowPageCount="1" colPageCount="1"/>
  <pivotFields count="19">
    <pivotField showAll="0"/>
    <pivotField axis="axisRow" showAll="0">
      <items count="31">
        <item x="3"/>
        <item x="4"/>
        <item x="5"/>
        <item x="6"/>
        <item x="7"/>
        <item x="8"/>
        <item x="9"/>
        <item x="10"/>
        <item x="11"/>
        <item x="12"/>
        <item x="13"/>
        <item x="14"/>
        <item x="15"/>
        <item x="16"/>
        <item x="17"/>
        <item x="18"/>
        <item x="19"/>
        <item x="20"/>
        <item x="21"/>
        <item x="22"/>
        <item x="23"/>
        <item x="24"/>
        <item x="25"/>
        <item x="26"/>
        <item x="27"/>
        <item x="28"/>
        <item x="29"/>
        <item x="0"/>
        <item x="1"/>
        <item x="2"/>
        <item t="default"/>
      </items>
    </pivotField>
    <pivotField showAll="0"/>
    <pivotField showAll="0"/>
    <pivotField showAll="0"/>
    <pivotField showAll="0">
      <items count="4">
        <item x="2"/>
        <item x="0"/>
        <item x="1"/>
        <item t="default"/>
      </items>
    </pivotField>
    <pivotField axis="axisCol" showAll="0">
      <items count="5">
        <item x="2"/>
        <item x="3"/>
        <item x="0"/>
        <item x="1"/>
        <item t="default"/>
      </items>
    </pivotField>
    <pivotField showAll="0"/>
    <pivotField showAll="0"/>
    <pivotField dataField="1"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6"/>
  </colFields>
  <colItems count="5">
    <i>
      <x/>
    </i>
    <i>
      <x v="1"/>
    </i>
    <i>
      <x v="2"/>
    </i>
    <i>
      <x v="3"/>
    </i>
    <i t="grand">
      <x/>
    </i>
  </colItems>
  <pageFields count="1">
    <pageField fld="15" hier="-1"/>
  </pageFields>
  <dataFields count="1">
    <dataField name="Average of severity_distance" fld="9" subtotal="average" baseField="0" baseItem="0"/>
  </dataFields>
  <formats count="1">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C17603-B6D5-C845-B8E5-096EF878AA52}"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5" firstHeaderRow="1" firstDataRow="2" firstDataCol="1"/>
  <pivotFields count="19">
    <pivotField showAll="0"/>
    <pivotField showAll="0"/>
    <pivotField showAll="0"/>
    <pivotField showAll="0"/>
    <pivotField showAll="0"/>
    <pivotField showAll="0">
      <items count="4">
        <item x="2"/>
        <item x="0"/>
        <item x="1"/>
        <item t="default"/>
      </items>
    </pivotField>
    <pivotField axis="axisRow" showAll="0">
      <items count="5">
        <item x="2"/>
        <item x="3"/>
        <item x="0"/>
        <item x="1"/>
        <item t="default"/>
      </items>
    </pivotField>
    <pivotField axis="axisRow" dataField="1" multipleItemSelectionAllowed="1" showAll="0">
      <items count="3">
        <item x="1"/>
        <item x="0"/>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2">
    <field x="6"/>
    <field x="7"/>
  </rowFields>
  <rowItems count="11">
    <i>
      <x/>
    </i>
    <i r="1">
      <x/>
    </i>
    <i>
      <x v="1"/>
    </i>
    <i r="1">
      <x/>
    </i>
    <i>
      <x v="2"/>
    </i>
    <i r="1">
      <x/>
    </i>
    <i r="1">
      <x v="1"/>
    </i>
    <i>
      <x v="3"/>
    </i>
    <i r="1">
      <x/>
    </i>
    <i r="1">
      <x v="1"/>
    </i>
    <i t="grand">
      <x/>
    </i>
  </rowItems>
  <colFields count="1">
    <field x="15"/>
  </colFields>
  <colItems count="3">
    <i>
      <x/>
    </i>
    <i>
      <x v="1"/>
    </i>
    <i t="grand">
      <x/>
    </i>
  </colItems>
  <dataFields count="1">
    <dataField name="Count of correc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25C4CB-7C2D-6642-865C-2353760C993D}" name="Table2" displayName="Table2" ref="A3:S8" totalsRowShown="0">
  <autoFilter ref="A3:S8" xr:uid="{7325C4CB-7C2D-6642-865C-2353760C993D}"/>
  <tableColumns count="19">
    <tableColumn id="1" xr3:uid="{73DBE886-56F0-594C-BD75-AC8D154965FA}" name="message_id"/>
    <tableColumn id="2" xr3:uid="{6B081D1D-ED28-0840-BFE2-6FCA694E876B}" name="id"/>
    <tableColumn id="3" xr3:uid="{66DAACC3-435E-7A49-A8D7-DB86355194F2}" name="use_ehr"/>
    <tableColumn id="4" xr3:uid="{AA729982-20C2-E54C-9A51-03D3EF297EE5}" name="use_rag"/>
    <tableColumn id="5" xr3:uid="{209A3DC2-C3B7-9243-AA09-4C6202FE7794}" name="use_ckm_stage"/>
    <tableColumn id="6" xr3:uid="{771DED90-5DF7-924B-A4A4-226B5BCA09CC}" name="predicted"/>
    <tableColumn id="7" xr3:uid="{329C2273-DABB-9248-9299-83EC294A0CEF}" name="expected"/>
    <tableColumn id="8" xr3:uid="{4ED499BC-1960-144B-8EF2-92E358F54C47}" name="correct"/>
    <tableColumn id="9" xr3:uid="{B4C9CEBA-C58E-7F49-AEE7-B964485DDA71}" name="parse_ok"/>
    <tableColumn id="10" xr3:uid="{A990794C-0F02-D04B-B7D6-55B24369EDB6}" name="severity_distance"/>
    <tableColumn id="11" xr3:uid="{1FBC7627-2704-F743-AF29-F238D92710AE}" name="under_triage"/>
    <tableColumn id="12" xr3:uid="{6872414A-F6FC-A040-8EB7-8C9B49A467F9}" name="over_triage"/>
    <tableColumn id="13" xr3:uid="{1AF5F1CD-C8B8-8149-B5CE-AC95B8BB9ACF}" name="rationale"/>
    <tableColumn id="14" xr3:uid="{53D136BD-3CA4-D842-91D0-CA3B0E06B13D}" name="recommended_action"/>
    <tableColumn id="15" xr3:uid="{3B1572E5-C843-7C4B-9774-DC17889CEA5B}" name="retrieved"/>
    <tableColumn id="16" xr3:uid="{F7D37D86-4D0F-8C40-B980-65B8D47A05C9}" name="condition"/>
    <tableColumn id="17" xr3:uid="{12F8B2EA-9E66-BC41-95EC-ACECBBAEFDA8}" name="predicted_rank"/>
    <tableColumn id="18" xr3:uid="{795A4EAC-6577-8943-B286-7B82143BEA4F}" name="expected_rank"/>
    <tableColumn id="19" xr3:uid="{E9D7CF99-1A1C-FD41-AC8D-00FDC842CE0D}" name="calculated_severity_dist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8835-B050-DC4C-8942-820E0B8F6DC3}">
  <dimension ref="A3:D68"/>
  <sheetViews>
    <sheetView workbookViewId="0">
      <selection activeCell="A3" sqref="A3"/>
    </sheetView>
  </sheetViews>
  <sheetFormatPr baseColWidth="10" defaultRowHeight="16" x14ac:dyDescent="0.2"/>
  <cols>
    <col min="1" max="1" width="28.1640625" bestFit="1" customWidth="1"/>
    <col min="2" max="2" width="28.5" bestFit="1" customWidth="1"/>
    <col min="3" max="3" width="32" bestFit="1" customWidth="1"/>
    <col min="4" max="4" width="10.5" bestFit="1" customWidth="1"/>
    <col min="5" max="5" width="26.33203125" bestFit="1" customWidth="1"/>
    <col min="6" max="6" width="23.1640625" bestFit="1" customWidth="1"/>
    <col min="7" max="7" width="9.6640625" bestFit="1" customWidth="1"/>
    <col min="8" max="10" width="10.5" bestFit="1" customWidth="1"/>
  </cols>
  <sheetData>
    <row r="3" spans="1:4" x14ac:dyDescent="0.2">
      <c r="A3" s="1" t="s">
        <v>263</v>
      </c>
      <c r="B3" s="1" t="s">
        <v>262</v>
      </c>
    </row>
    <row r="4" spans="1:4" x14ac:dyDescent="0.2">
      <c r="A4" s="1" t="s">
        <v>260</v>
      </c>
      <c r="B4" t="s">
        <v>25</v>
      </c>
      <c r="C4" t="s">
        <v>177</v>
      </c>
      <c r="D4" t="s">
        <v>261</v>
      </c>
    </row>
    <row r="5" spans="1:4" x14ac:dyDescent="0.2">
      <c r="A5" s="2" t="s">
        <v>38</v>
      </c>
      <c r="B5" s="3">
        <v>-2</v>
      </c>
      <c r="C5" s="3">
        <v>-2</v>
      </c>
      <c r="D5" s="3">
        <v>-4</v>
      </c>
    </row>
    <row r="6" spans="1:4" x14ac:dyDescent="0.2">
      <c r="A6" s="2" t="s">
        <v>43</v>
      </c>
      <c r="B6" s="3">
        <v>-1</v>
      </c>
      <c r="C6" s="3">
        <v>-1</v>
      </c>
      <c r="D6" s="3">
        <v>-2</v>
      </c>
    </row>
    <row r="7" spans="1:4" x14ac:dyDescent="0.2">
      <c r="A7" s="2" t="s">
        <v>49</v>
      </c>
      <c r="B7" s="3">
        <v>1</v>
      </c>
      <c r="C7" s="3">
        <v>1</v>
      </c>
      <c r="D7" s="3">
        <v>2</v>
      </c>
    </row>
    <row r="8" spans="1:4" x14ac:dyDescent="0.2">
      <c r="A8" s="2" t="s">
        <v>55</v>
      </c>
      <c r="B8" s="3">
        <v>2</v>
      </c>
      <c r="C8" s="3">
        <v>2</v>
      </c>
      <c r="D8" s="3">
        <v>4</v>
      </c>
    </row>
    <row r="9" spans="1:4" x14ac:dyDescent="0.2">
      <c r="A9" s="2" t="s">
        <v>60</v>
      </c>
      <c r="B9" s="3">
        <v>-1</v>
      </c>
      <c r="C9" s="3">
        <v>-1</v>
      </c>
      <c r="D9" s="3">
        <v>-2</v>
      </c>
    </row>
    <row r="10" spans="1:4" x14ac:dyDescent="0.2">
      <c r="A10" s="2" t="s">
        <v>65</v>
      </c>
      <c r="B10" s="3">
        <v>0</v>
      </c>
      <c r="C10" s="3">
        <v>0</v>
      </c>
      <c r="D10" s="3">
        <v>0</v>
      </c>
    </row>
    <row r="11" spans="1:4" x14ac:dyDescent="0.2">
      <c r="A11" s="2" t="s">
        <v>70</v>
      </c>
      <c r="B11" s="3">
        <v>2</v>
      </c>
      <c r="C11" s="3">
        <v>2</v>
      </c>
      <c r="D11" s="3">
        <v>4</v>
      </c>
    </row>
    <row r="12" spans="1:4" x14ac:dyDescent="0.2">
      <c r="A12" s="2" t="s">
        <v>75</v>
      </c>
      <c r="B12" s="3">
        <v>2</v>
      </c>
      <c r="C12" s="3">
        <v>1</v>
      </c>
      <c r="D12" s="3">
        <v>3</v>
      </c>
    </row>
    <row r="13" spans="1:4" x14ac:dyDescent="0.2">
      <c r="A13" s="2" t="s">
        <v>80</v>
      </c>
      <c r="B13" s="3">
        <v>2</v>
      </c>
      <c r="C13" s="3">
        <v>2</v>
      </c>
      <c r="D13" s="3">
        <v>4</v>
      </c>
    </row>
    <row r="14" spans="1:4" x14ac:dyDescent="0.2">
      <c r="A14" s="2" t="s">
        <v>85</v>
      </c>
      <c r="B14" s="3">
        <v>-1</v>
      </c>
      <c r="C14" s="3">
        <v>-1</v>
      </c>
      <c r="D14" s="3">
        <v>-2</v>
      </c>
    </row>
    <row r="15" spans="1:4" x14ac:dyDescent="0.2">
      <c r="A15" s="2" t="s">
        <v>90</v>
      </c>
      <c r="B15" s="3">
        <v>2</v>
      </c>
      <c r="C15" s="3">
        <v>1</v>
      </c>
      <c r="D15" s="3">
        <v>3</v>
      </c>
    </row>
    <row r="16" spans="1:4" x14ac:dyDescent="0.2">
      <c r="A16" s="2" t="s">
        <v>95</v>
      </c>
      <c r="B16" s="3">
        <v>1</v>
      </c>
      <c r="C16" s="3">
        <v>1</v>
      </c>
      <c r="D16" s="3">
        <v>2</v>
      </c>
    </row>
    <row r="17" spans="1:4" x14ac:dyDescent="0.2">
      <c r="A17" s="2" t="s">
        <v>100</v>
      </c>
      <c r="B17" s="3">
        <v>2</v>
      </c>
      <c r="C17" s="3">
        <v>2</v>
      </c>
      <c r="D17" s="3">
        <v>4</v>
      </c>
    </row>
    <row r="18" spans="1:4" x14ac:dyDescent="0.2">
      <c r="A18" s="2" t="s">
        <v>105</v>
      </c>
      <c r="B18" s="3">
        <v>2</v>
      </c>
      <c r="C18" s="3">
        <v>2</v>
      </c>
      <c r="D18" s="3">
        <v>4</v>
      </c>
    </row>
    <row r="19" spans="1:4" x14ac:dyDescent="0.2">
      <c r="A19" s="2" t="s">
        <v>110</v>
      </c>
      <c r="B19" s="3">
        <v>0</v>
      </c>
      <c r="C19" s="3">
        <v>0</v>
      </c>
      <c r="D19" s="3">
        <v>0</v>
      </c>
    </row>
    <row r="20" spans="1:4" x14ac:dyDescent="0.2">
      <c r="A20" s="2" t="s">
        <v>115</v>
      </c>
      <c r="B20" s="3">
        <v>0</v>
      </c>
      <c r="C20" s="3">
        <v>0</v>
      </c>
      <c r="D20" s="3">
        <v>0</v>
      </c>
    </row>
    <row r="21" spans="1:4" x14ac:dyDescent="0.2">
      <c r="A21" s="2" t="s">
        <v>120</v>
      </c>
      <c r="B21" s="3">
        <v>2</v>
      </c>
      <c r="C21" s="3">
        <v>2</v>
      </c>
      <c r="D21" s="3">
        <v>4</v>
      </c>
    </row>
    <row r="22" spans="1:4" x14ac:dyDescent="0.2">
      <c r="A22" s="2" t="s">
        <v>125</v>
      </c>
      <c r="B22" s="3">
        <v>2</v>
      </c>
      <c r="C22" s="3">
        <v>2</v>
      </c>
      <c r="D22" s="3">
        <v>4</v>
      </c>
    </row>
    <row r="23" spans="1:4" x14ac:dyDescent="0.2">
      <c r="A23" s="2" t="s">
        <v>130</v>
      </c>
      <c r="B23" s="3">
        <v>1</v>
      </c>
      <c r="C23" s="3">
        <v>1</v>
      </c>
      <c r="D23" s="3">
        <v>2</v>
      </c>
    </row>
    <row r="24" spans="1:4" x14ac:dyDescent="0.2">
      <c r="A24" s="2" t="s">
        <v>135</v>
      </c>
      <c r="B24" s="3">
        <v>1</v>
      </c>
      <c r="C24" s="3">
        <v>1</v>
      </c>
      <c r="D24" s="3">
        <v>2</v>
      </c>
    </row>
    <row r="25" spans="1:4" x14ac:dyDescent="0.2">
      <c r="A25" s="2" t="s">
        <v>140</v>
      </c>
      <c r="B25" s="3">
        <v>2</v>
      </c>
      <c r="C25" s="3">
        <v>2</v>
      </c>
      <c r="D25" s="3">
        <v>4</v>
      </c>
    </row>
    <row r="26" spans="1:4" x14ac:dyDescent="0.2">
      <c r="A26" s="2" t="s">
        <v>145</v>
      </c>
      <c r="B26" s="3">
        <v>0</v>
      </c>
      <c r="C26" s="3">
        <v>0</v>
      </c>
      <c r="D26" s="3">
        <v>0</v>
      </c>
    </row>
    <row r="27" spans="1:4" x14ac:dyDescent="0.2">
      <c r="A27" s="2" t="s">
        <v>150</v>
      </c>
      <c r="B27" s="3">
        <v>1</v>
      </c>
      <c r="C27" s="3">
        <v>1</v>
      </c>
      <c r="D27" s="3">
        <v>2</v>
      </c>
    </row>
    <row r="28" spans="1:4" x14ac:dyDescent="0.2">
      <c r="A28" s="2" t="s">
        <v>155</v>
      </c>
      <c r="B28" s="3">
        <v>0</v>
      </c>
      <c r="C28" s="3">
        <v>0</v>
      </c>
      <c r="D28" s="3">
        <v>0</v>
      </c>
    </row>
    <row r="29" spans="1:4" x14ac:dyDescent="0.2">
      <c r="A29" s="2" t="s">
        <v>160</v>
      </c>
      <c r="B29" s="3">
        <v>1</v>
      </c>
      <c r="C29" s="3">
        <v>1</v>
      </c>
      <c r="D29" s="3">
        <v>2</v>
      </c>
    </row>
    <row r="30" spans="1:4" x14ac:dyDescent="0.2">
      <c r="A30" s="2" t="s">
        <v>165</v>
      </c>
      <c r="B30" s="3">
        <v>-1</v>
      </c>
      <c r="C30" s="3">
        <v>-1</v>
      </c>
      <c r="D30" s="3">
        <v>-2</v>
      </c>
    </row>
    <row r="31" spans="1:4" x14ac:dyDescent="0.2">
      <c r="A31" s="2" t="s">
        <v>170</v>
      </c>
      <c r="B31" s="3">
        <v>-1</v>
      </c>
      <c r="C31" s="3">
        <v>-1</v>
      </c>
      <c r="D31" s="3">
        <v>-2</v>
      </c>
    </row>
    <row r="32" spans="1:4" x14ac:dyDescent="0.2">
      <c r="A32" s="2" t="s">
        <v>20</v>
      </c>
      <c r="B32" s="3">
        <v>0</v>
      </c>
      <c r="C32" s="3">
        <v>0</v>
      </c>
      <c r="D32" s="3">
        <v>0</v>
      </c>
    </row>
    <row r="33" spans="1:4" x14ac:dyDescent="0.2">
      <c r="A33" s="2" t="s">
        <v>27</v>
      </c>
      <c r="B33" s="3">
        <v>0</v>
      </c>
      <c r="C33" s="3">
        <v>0</v>
      </c>
      <c r="D33" s="3">
        <v>0</v>
      </c>
    </row>
    <row r="34" spans="1:4" x14ac:dyDescent="0.2">
      <c r="A34" s="2" t="s">
        <v>33</v>
      </c>
      <c r="B34" s="3">
        <v>0</v>
      </c>
      <c r="C34" s="3">
        <v>0</v>
      </c>
      <c r="D34" s="3">
        <v>0</v>
      </c>
    </row>
    <row r="35" spans="1:4" x14ac:dyDescent="0.2">
      <c r="A35" s="2" t="s">
        <v>261</v>
      </c>
      <c r="B35" s="3">
        <v>19</v>
      </c>
      <c r="C35" s="3">
        <v>17</v>
      </c>
      <c r="D35" s="3">
        <v>36</v>
      </c>
    </row>
    <row r="38" spans="1:4" x14ac:dyDescent="0.2">
      <c r="A38" s="5" t="s">
        <v>260</v>
      </c>
      <c r="B38" s="5" t="s">
        <v>25</v>
      </c>
      <c r="C38" s="5" t="s">
        <v>177</v>
      </c>
      <c r="D38" s="5" t="s">
        <v>261</v>
      </c>
    </row>
    <row r="39" spans="1:4" x14ac:dyDescent="0.2">
      <c r="A39" s="2" t="s">
        <v>38</v>
      </c>
      <c r="B39" s="3">
        <v>-2</v>
      </c>
      <c r="C39" s="3">
        <v>-2</v>
      </c>
      <c r="D39" s="3">
        <v>-4</v>
      </c>
    </row>
    <row r="40" spans="1:4" x14ac:dyDescent="0.2">
      <c r="A40" s="2" t="s">
        <v>43</v>
      </c>
      <c r="B40" s="3">
        <v>-1</v>
      </c>
      <c r="C40" s="3">
        <v>-1</v>
      </c>
      <c r="D40" s="3">
        <v>-2</v>
      </c>
    </row>
    <row r="41" spans="1:4" x14ac:dyDescent="0.2">
      <c r="A41" s="2" t="s">
        <v>60</v>
      </c>
      <c r="B41" s="3">
        <v>-1</v>
      </c>
      <c r="C41" s="3">
        <v>-1</v>
      </c>
      <c r="D41" s="3">
        <v>-2</v>
      </c>
    </row>
    <row r="42" spans="1:4" x14ac:dyDescent="0.2">
      <c r="A42" s="2" t="s">
        <v>85</v>
      </c>
      <c r="B42" s="3">
        <v>-1</v>
      </c>
      <c r="C42" s="3">
        <v>-1</v>
      </c>
      <c r="D42" s="3">
        <v>-2</v>
      </c>
    </row>
    <row r="43" spans="1:4" x14ac:dyDescent="0.2">
      <c r="A43" s="2" t="s">
        <v>165</v>
      </c>
      <c r="B43" s="3">
        <v>-1</v>
      </c>
      <c r="C43" s="3">
        <v>-1</v>
      </c>
      <c r="D43" s="3">
        <v>-2</v>
      </c>
    </row>
    <row r="44" spans="1:4" x14ac:dyDescent="0.2">
      <c r="A44" s="2" t="s">
        <v>170</v>
      </c>
      <c r="B44" s="3">
        <v>-1</v>
      </c>
      <c r="C44" s="3">
        <v>-1</v>
      </c>
      <c r="D44" s="3">
        <v>-2</v>
      </c>
    </row>
    <row r="45" spans="1:4" x14ac:dyDescent="0.2">
      <c r="A45" s="2" t="s">
        <v>65</v>
      </c>
      <c r="B45" s="3">
        <v>0</v>
      </c>
      <c r="C45" s="3">
        <v>0</v>
      </c>
      <c r="D45" s="3">
        <v>0</v>
      </c>
    </row>
    <row r="46" spans="1:4" x14ac:dyDescent="0.2">
      <c r="A46" s="2" t="s">
        <v>110</v>
      </c>
      <c r="B46" s="3">
        <v>0</v>
      </c>
      <c r="C46" s="3">
        <v>0</v>
      </c>
      <c r="D46" s="3">
        <v>0</v>
      </c>
    </row>
    <row r="47" spans="1:4" x14ac:dyDescent="0.2">
      <c r="A47" s="2" t="s">
        <v>115</v>
      </c>
      <c r="B47" s="3">
        <v>0</v>
      </c>
      <c r="C47" s="3">
        <v>0</v>
      </c>
      <c r="D47" s="3">
        <v>0</v>
      </c>
    </row>
    <row r="48" spans="1:4" x14ac:dyDescent="0.2">
      <c r="A48" s="2" t="s">
        <v>145</v>
      </c>
      <c r="B48" s="3">
        <v>0</v>
      </c>
      <c r="C48" s="3">
        <v>0</v>
      </c>
      <c r="D48" s="3">
        <v>0</v>
      </c>
    </row>
    <row r="49" spans="1:4" x14ac:dyDescent="0.2">
      <c r="A49" s="2" t="s">
        <v>155</v>
      </c>
      <c r="B49" s="3">
        <v>0</v>
      </c>
      <c r="C49" s="3">
        <v>0</v>
      </c>
      <c r="D49" s="3">
        <v>0</v>
      </c>
    </row>
    <row r="50" spans="1:4" x14ac:dyDescent="0.2">
      <c r="A50" s="2" t="s">
        <v>20</v>
      </c>
      <c r="B50" s="3">
        <v>0</v>
      </c>
      <c r="C50" s="3">
        <v>0</v>
      </c>
      <c r="D50" s="3">
        <v>0</v>
      </c>
    </row>
    <row r="51" spans="1:4" x14ac:dyDescent="0.2">
      <c r="A51" s="2" t="s">
        <v>27</v>
      </c>
      <c r="B51" s="3">
        <v>0</v>
      </c>
      <c r="C51" s="3">
        <v>0</v>
      </c>
      <c r="D51" s="3">
        <v>0</v>
      </c>
    </row>
    <row r="52" spans="1:4" x14ac:dyDescent="0.2">
      <c r="A52" s="2" t="s">
        <v>33</v>
      </c>
      <c r="B52" s="3">
        <v>0</v>
      </c>
      <c r="C52" s="3">
        <v>0</v>
      </c>
      <c r="D52" s="3">
        <v>0</v>
      </c>
    </row>
    <row r="53" spans="1:4" x14ac:dyDescent="0.2">
      <c r="A53" s="2" t="s">
        <v>49</v>
      </c>
      <c r="B53" s="3">
        <v>1</v>
      </c>
      <c r="C53" s="3">
        <v>1</v>
      </c>
      <c r="D53" s="3">
        <v>2</v>
      </c>
    </row>
    <row r="54" spans="1:4" x14ac:dyDescent="0.2">
      <c r="A54" s="2" t="s">
        <v>95</v>
      </c>
      <c r="B54" s="3">
        <v>1</v>
      </c>
      <c r="C54" s="3">
        <v>1</v>
      </c>
      <c r="D54" s="3">
        <v>2</v>
      </c>
    </row>
    <row r="55" spans="1:4" x14ac:dyDescent="0.2">
      <c r="A55" s="2" t="s">
        <v>130</v>
      </c>
      <c r="B55" s="3">
        <v>1</v>
      </c>
      <c r="C55" s="3">
        <v>1</v>
      </c>
      <c r="D55" s="3">
        <v>2</v>
      </c>
    </row>
    <row r="56" spans="1:4" x14ac:dyDescent="0.2">
      <c r="A56" s="2" t="s">
        <v>135</v>
      </c>
      <c r="B56" s="3">
        <v>1</v>
      </c>
      <c r="C56" s="3">
        <v>1</v>
      </c>
      <c r="D56" s="3">
        <v>2</v>
      </c>
    </row>
    <row r="57" spans="1:4" x14ac:dyDescent="0.2">
      <c r="A57" s="2" t="s">
        <v>150</v>
      </c>
      <c r="B57" s="3">
        <v>1</v>
      </c>
      <c r="C57" s="3">
        <v>1</v>
      </c>
      <c r="D57" s="3">
        <v>2</v>
      </c>
    </row>
    <row r="58" spans="1:4" x14ac:dyDescent="0.2">
      <c r="A58" s="2" t="s">
        <v>160</v>
      </c>
      <c r="B58" s="3">
        <v>1</v>
      </c>
      <c r="C58" s="3">
        <v>1</v>
      </c>
      <c r="D58" s="3">
        <v>2</v>
      </c>
    </row>
    <row r="59" spans="1:4" x14ac:dyDescent="0.2">
      <c r="A59" s="2" t="s">
        <v>55</v>
      </c>
      <c r="B59" s="3">
        <v>2</v>
      </c>
      <c r="C59" s="3">
        <v>2</v>
      </c>
      <c r="D59" s="3">
        <v>4</v>
      </c>
    </row>
    <row r="60" spans="1:4" x14ac:dyDescent="0.2">
      <c r="A60" s="2" t="s">
        <v>70</v>
      </c>
      <c r="B60" s="3">
        <v>2</v>
      </c>
      <c r="C60" s="3">
        <v>2</v>
      </c>
      <c r="D60" s="3">
        <v>4</v>
      </c>
    </row>
    <row r="61" spans="1:4" x14ac:dyDescent="0.2">
      <c r="A61" s="2" t="s">
        <v>75</v>
      </c>
      <c r="B61" s="3">
        <v>2</v>
      </c>
      <c r="C61" s="10">
        <v>1</v>
      </c>
      <c r="D61" s="3">
        <v>3</v>
      </c>
    </row>
    <row r="62" spans="1:4" x14ac:dyDescent="0.2">
      <c r="A62" s="2" t="s">
        <v>80</v>
      </c>
      <c r="B62" s="3">
        <v>2</v>
      </c>
      <c r="C62" s="3">
        <v>2</v>
      </c>
      <c r="D62" s="3">
        <v>4</v>
      </c>
    </row>
    <row r="63" spans="1:4" x14ac:dyDescent="0.2">
      <c r="A63" s="2" t="s">
        <v>90</v>
      </c>
      <c r="B63" s="3">
        <v>2</v>
      </c>
      <c r="C63" s="10">
        <v>1</v>
      </c>
      <c r="D63" s="3">
        <v>3</v>
      </c>
    </row>
    <row r="64" spans="1:4" x14ac:dyDescent="0.2">
      <c r="A64" s="2" t="s">
        <v>100</v>
      </c>
      <c r="B64" s="3">
        <v>2</v>
      </c>
      <c r="C64" s="3">
        <v>2</v>
      </c>
      <c r="D64" s="3">
        <v>4</v>
      </c>
    </row>
    <row r="65" spans="1:4" x14ac:dyDescent="0.2">
      <c r="A65" s="2" t="s">
        <v>105</v>
      </c>
      <c r="B65" s="3">
        <v>2</v>
      </c>
      <c r="C65" s="3">
        <v>2</v>
      </c>
      <c r="D65" s="3">
        <v>4</v>
      </c>
    </row>
    <row r="66" spans="1:4" x14ac:dyDescent="0.2">
      <c r="A66" s="2" t="s">
        <v>120</v>
      </c>
      <c r="B66" s="3">
        <v>2</v>
      </c>
      <c r="C66" s="3">
        <v>2</v>
      </c>
      <c r="D66" s="3">
        <v>4</v>
      </c>
    </row>
    <row r="67" spans="1:4" x14ac:dyDescent="0.2">
      <c r="A67" s="2" t="s">
        <v>125</v>
      </c>
      <c r="B67" s="3">
        <v>2</v>
      </c>
      <c r="C67" s="3">
        <v>2</v>
      </c>
      <c r="D67" s="3">
        <v>4</v>
      </c>
    </row>
    <row r="68" spans="1:4" x14ac:dyDescent="0.2">
      <c r="A68" s="2" t="s">
        <v>140</v>
      </c>
      <c r="B68" s="3">
        <v>2</v>
      </c>
      <c r="C68" s="3">
        <v>2</v>
      </c>
      <c r="D68" s="3">
        <v>4</v>
      </c>
    </row>
  </sheetData>
  <sortState xmlns:xlrd2="http://schemas.microsoft.com/office/spreadsheetml/2017/richdata2" ref="A39:D68">
    <sortCondition ref="B39:B6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1BF7C-55E4-294D-8051-A4D9475A510E}">
  <dimension ref="A1:S8"/>
  <sheetViews>
    <sheetView workbookViewId="0">
      <selection activeCell="A3" sqref="A3:S8"/>
    </sheetView>
  </sheetViews>
  <sheetFormatPr baseColWidth="10" defaultRowHeight="16" x14ac:dyDescent="0.2"/>
  <cols>
    <col min="1" max="1" width="28.1640625" bestFit="1" customWidth="1"/>
    <col min="2" max="2" width="24.83203125" bestFit="1" customWidth="1"/>
    <col min="3" max="4" width="11" bestFit="1" customWidth="1"/>
    <col min="5" max="5" width="16.6640625" bestFit="1" customWidth="1"/>
    <col min="6" max="6" width="11.5" bestFit="1" customWidth="1"/>
    <col min="7" max="7" width="11.1640625" bestFit="1" customWidth="1"/>
    <col min="8" max="8" width="11" bestFit="1" customWidth="1"/>
    <col min="9" max="9" width="11.1640625" bestFit="1" customWidth="1"/>
    <col min="10" max="10" width="18.1640625" bestFit="1" customWidth="1"/>
    <col min="11" max="11" width="14" bestFit="1" customWidth="1"/>
    <col min="12" max="12" width="12.83203125" bestFit="1" customWidth="1"/>
    <col min="13" max="13" width="255.83203125" bestFit="1" customWidth="1"/>
    <col min="14" max="14" width="129.33203125" bestFit="1" customWidth="1"/>
    <col min="15" max="15" width="163.5" bestFit="1" customWidth="1"/>
    <col min="16" max="16" width="31" bestFit="1" customWidth="1"/>
    <col min="17" max="17" width="16" bestFit="1" customWidth="1"/>
    <col min="18" max="18" width="15.6640625" bestFit="1" customWidth="1"/>
    <col min="19" max="19" width="28" bestFit="1" customWidth="1"/>
  </cols>
  <sheetData>
    <row r="1" spans="1:19" x14ac:dyDescent="0.2">
      <c r="A1" s="11" t="s">
        <v>270</v>
      </c>
    </row>
    <row r="3" spans="1:19"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row>
    <row r="4" spans="1:19" x14ac:dyDescent="0.2">
      <c r="A4" t="s">
        <v>42</v>
      </c>
      <c r="B4" t="s">
        <v>43</v>
      </c>
      <c r="C4" t="b">
        <v>1</v>
      </c>
      <c r="D4" t="b">
        <v>1</v>
      </c>
      <c r="E4" t="b">
        <v>0</v>
      </c>
      <c r="F4" t="s">
        <v>28</v>
      </c>
      <c r="G4" t="s">
        <v>44</v>
      </c>
      <c r="H4" t="b">
        <v>0</v>
      </c>
      <c r="I4" t="b">
        <v>1</v>
      </c>
      <c r="J4">
        <v>-1</v>
      </c>
      <c r="K4" t="b">
        <v>1</v>
      </c>
      <c r="L4" t="b">
        <v>0</v>
      </c>
      <c r="M4" t="s">
        <v>187</v>
      </c>
      <c r="N4" t="s">
        <v>188</v>
      </c>
      <c r="O4" t="s">
        <v>189</v>
      </c>
      <c r="P4" t="s">
        <v>177</v>
      </c>
      <c r="Q4">
        <v>2</v>
      </c>
      <c r="R4">
        <v>3</v>
      </c>
      <c r="S4">
        <v>-1</v>
      </c>
    </row>
    <row r="5" spans="1:19" x14ac:dyDescent="0.2">
      <c r="A5" t="s">
        <v>59</v>
      </c>
      <c r="B5" t="s">
        <v>60</v>
      </c>
      <c r="C5" t="b">
        <v>1</v>
      </c>
      <c r="D5" t="b">
        <v>1</v>
      </c>
      <c r="E5" t="b">
        <v>0</v>
      </c>
      <c r="F5" t="s">
        <v>28</v>
      </c>
      <c r="G5" t="s">
        <v>44</v>
      </c>
      <c r="H5" t="b">
        <v>0</v>
      </c>
      <c r="I5" t="b">
        <v>1</v>
      </c>
      <c r="J5">
        <v>-1</v>
      </c>
      <c r="K5" t="b">
        <v>1</v>
      </c>
      <c r="L5" t="b">
        <v>0</v>
      </c>
      <c r="M5" t="s">
        <v>195</v>
      </c>
      <c r="N5" t="s">
        <v>196</v>
      </c>
      <c r="O5" t="s">
        <v>197</v>
      </c>
      <c r="P5" t="s">
        <v>177</v>
      </c>
      <c r="Q5">
        <v>2</v>
      </c>
      <c r="R5">
        <v>3</v>
      </c>
      <c r="S5">
        <v>-1</v>
      </c>
    </row>
    <row r="6" spans="1:19" x14ac:dyDescent="0.2">
      <c r="A6" t="s">
        <v>84</v>
      </c>
      <c r="B6" t="s">
        <v>85</v>
      </c>
      <c r="C6" t="b">
        <v>1</v>
      </c>
      <c r="D6" t="b">
        <v>1</v>
      </c>
      <c r="E6" t="b">
        <v>0</v>
      </c>
      <c r="F6" t="s">
        <v>28</v>
      </c>
      <c r="G6" t="s">
        <v>44</v>
      </c>
      <c r="H6" t="b">
        <v>0</v>
      </c>
      <c r="I6" t="b">
        <v>1</v>
      </c>
      <c r="J6">
        <v>-1</v>
      </c>
      <c r="K6" t="b">
        <v>1</v>
      </c>
      <c r="L6" t="b">
        <v>0</v>
      </c>
      <c r="M6" t="s">
        <v>209</v>
      </c>
      <c r="N6" t="s">
        <v>210</v>
      </c>
      <c r="O6" t="s">
        <v>88</v>
      </c>
      <c r="P6" t="s">
        <v>177</v>
      </c>
      <c r="Q6">
        <v>2</v>
      </c>
      <c r="R6">
        <v>3</v>
      </c>
      <c r="S6">
        <v>-1</v>
      </c>
    </row>
    <row r="7" spans="1:19" x14ac:dyDescent="0.2">
      <c r="A7" t="s">
        <v>164</v>
      </c>
      <c r="B7" t="s">
        <v>165</v>
      </c>
      <c r="C7" t="b">
        <v>1</v>
      </c>
      <c r="D7" t="b">
        <v>1</v>
      </c>
      <c r="E7" t="b">
        <v>0</v>
      </c>
      <c r="F7" t="s">
        <v>28</v>
      </c>
      <c r="G7" t="s">
        <v>44</v>
      </c>
      <c r="H7" t="b">
        <v>0</v>
      </c>
      <c r="I7" t="b">
        <v>1</v>
      </c>
      <c r="J7">
        <v>-1</v>
      </c>
      <c r="K7" t="b">
        <v>1</v>
      </c>
      <c r="L7" t="b">
        <v>0</v>
      </c>
      <c r="M7" t="s">
        <v>254</v>
      </c>
      <c r="N7" t="s">
        <v>255</v>
      </c>
      <c r="O7" t="s">
        <v>256</v>
      </c>
      <c r="P7" t="s">
        <v>177</v>
      </c>
      <c r="Q7">
        <v>2</v>
      </c>
      <c r="R7">
        <v>3</v>
      </c>
      <c r="S7">
        <v>-1</v>
      </c>
    </row>
    <row r="8" spans="1:19" x14ac:dyDescent="0.2">
      <c r="A8" t="s">
        <v>169</v>
      </c>
      <c r="B8" t="s">
        <v>170</v>
      </c>
      <c r="C8" t="b">
        <v>1</v>
      </c>
      <c r="D8" t="b">
        <v>1</v>
      </c>
      <c r="E8" t="b">
        <v>0</v>
      </c>
      <c r="F8" t="s">
        <v>28</v>
      </c>
      <c r="G8" t="s">
        <v>44</v>
      </c>
      <c r="H8" t="b">
        <v>0</v>
      </c>
      <c r="I8" t="b">
        <v>1</v>
      </c>
      <c r="J8">
        <v>-1</v>
      </c>
      <c r="K8" t="b">
        <v>1</v>
      </c>
      <c r="L8" t="b">
        <v>0</v>
      </c>
      <c r="M8" t="s">
        <v>257</v>
      </c>
      <c r="N8" t="s">
        <v>258</v>
      </c>
      <c r="O8" t="s">
        <v>259</v>
      </c>
      <c r="P8" t="s">
        <v>177</v>
      </c>
      <c r="Q8">
        <v>2</v>
      </c>
      <c r="R8">
        <v>3</v>
      </c>
      <c r="S8">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3930A-12FE-2541-BF3C-73A53CC9905F}">
  <dimension ref="A1:J73"/>
  <sheetViews>
    <sheetView topLeftCell="A2" workbookViewId="0">
      <selection activeCell="I73" sqref="I73"/>
    </sheetView>
  </sheetViews>
  <sheetFormatPr baseColWidth="10" defaultRowHeight="16" x14ac:dyDescent="0.2"/>
  <cols>
    <col min="1" max="1" width="25" bestFit="1" customWidth="1"/>
    <col min="2" max="2" width="33.5" bestFit="1" customWidth="1"/>
    <col min="3" max="3" width="8.5" bestFit="1" customWidth="1"/>
    <col min="4" max="4" width="10.6640625" bestFit="1" customWidth="1"/>
    <col min="5" max="5" width="8" bestFit="1" customWidth="1"/>
    <col min="6" max="6" width="10.5" bestFit="1" customWidth="1"/>
    <col min="7" max="7" width="22" bestFit="1" customWidth="1"/>
    <col min="8" max="8" width="25" bestFit="1" customWidth="1"/>
    <col min="9" max="9" width="22" bestFit="1" customWidth="1"/>
    <col min="10" max="10" width="27.83203125" bestFit="1" customWidth="1"/>
    <col min="11" max="11" width="26.33203125" bestFit="1" customWidth="1"/>
    <col min="12" max="12" width="32" bestFit="1" customWidth="1"/>
    <col min="13" max="13" width="12.33203125" bestFit="1" customWidth="1"/>
    <col min="14" max="14" width="10.5" bestFit="1" customWidth="1"/>
  </cols>
  <sheetData>
    <row r="1" spans="1:10" x14ac:dyDescent="0.2">
      <c r="A1" s="1" t="s">
        <v>15</v>
      </c>
      <c r="B1" t="s">
        <v>177</v>
      </c>
    </row>
    <row r="3" spans="1:10" x14ac:dyDescent="0.2">
      <c r="A3" s="1" t="s">
        <v>264</v>
      </c>
      <c r="B3" s="1" t="s">
        <v>262</v>
      </c>
      <c r="H3" s="4" t="s">
        <v>264</v>
      </c>
      <c r="I3" s="4"/>
    </row>
    <row r="4" spans="1:10" x14ac:dyDescent="0.2">
      <c r="A4" s="1" t="s">
        <v>260</v>
      </c>
      <c r="B4" t="s">
        <v>44</v>
      </c>
      <c r="C4" t="s">
        <v>50</v>
      </c>
      <c r="D4" t="s">
        <v>21</v>
      </c>
      <c r="E4" t="s">
        <v>28</v>
      </c>
      <c r="F4" t="s">
        <v>261</v>
      </c>
      <c r="H4" s="5" t="s">
        <v>260</v>
      </c>
      <c r="I4" s="5" t="s">
        <v>265</v>
      </c>
      <c r="J4" s="5" t="s">
        <v>266</v>
      </c>
    </row>
    <row r="5" spans="1:10" x14ac:dyDescent="0.2">
      <c r="A5" s="2" t="s">
        <v>38</v>
      </c>
      <c r="B5" s="3"/>
      <c r="C5" s="3"/>
      <c r="D5" s="3"/>
      <c r="E5" s="3">
        <v>-2</v>
      </c>
      <c r="F5" s="3">
        <v>-2</v>
      </c>
      <c r="H5" s="2" t="s">
        <v>38</v>
      </c>
      <c r="I5" s="3"/>
      <c r="J5" s="3"/>
    </row>
    <row r="6" spans="1:10" x14ac:dyDescent="0.2">
      <c r="A6" s="2" t="s">
        <v>43</v>
      </c>
      <c r="B6" s="3">
        <v>-1</v>
      </c>
      <c r="C6" s="3"/>
      <c r="D6" s="3"/>
      <c r="E6" s="3"/>
      <c r="F6" s="3">
        <v>-1</v>
      </c>
      <c r="H6" s="2" t="s">
        <v>43</v>
      </c>
      <c r="I6" s="3"/>
      <c r="J6" s="3"/>
    </row>
    <row r="7" spans="1:10" x14ac:dyDescent="0.2">
      <c r="A7" s="2" t="s">
        <v>49</v>
      </c>
      <c r="B7" s="3"/>
      <c r="C7" s="3">
        <v>1</v>
      </c>
      <c r="D7" s="3"/>
      <c r="E7" s="3"/>
      <c r="F7" s="3">
        <v>1</v>
      </c>
      <c r="H7" s="2" t="s">
        <v>49</v>
      </c>
      <c r="I7" s="3"/>
      <c r="J7" s="3"/>
    </row>
    <row r="8" spans="1:10" x14ac:dyDescent="0.2">
      <c r="A8" s="2" t="s">
        <v>55</v>
      </c>
      <c r="B8" s="3"/>
      <c r="C8" s="3"/>
      <c r="D8" s="3">
        <v>2</v>
      </c>
      <c r="E8" s="3"/>
      <c r="F8" s="3">
        <v>2</v>
      </c>
      <c r="H8" s="2" t="s">
        <v>55</v>
      </c>
      <c r="I8" s="3">
        <v>2</v>
      </c>
      <c r="J8" s="3">
        <v>2</v>
      </c>
    </row>
    <row r="9" spans="1:10" x14ac:dyDescent="0.2">
      <c r="A9" s="2" t="s">
        <v>60</v>
      </c>
      <c r="B9" s="3">
        <v>-1</v>
      </c>
      <c r="C9" s="3"/>
      <c r="D9" s="3"/>
      <c r="E9" s="3"/>
      <c r="F9" s="3">
        <v>-1</v>
      </c>
      <c r="H9" s="2" t="s">
        <v>60</v>
      </c>
      <c r="I9" s="3"/>
      <c r="J9" s="3"/>
    </row>
    <row r="10" spans="1:10" x14ac:dyDescent="0.2">
      <c r="A10" s="2" t="s">
        <v>65</v>
      </c>
      <c r="B10" s="3"/>
      <c r="C10" s="3"/>
      <c r="D10" s="3"/>
      <c r="E10" s="3">
        <v>0</v>
      </c>
      <c r="F10" s="3">
        <v>0</v>
      </c>
      <c r="H10" s="2" t="s">
        <v>65</v>
      </c>
      <c r="I10" s="3"/>
      <c r="J10" s="3"/>
    </row>
    <row r="11" spans="1:10" x14ac:dyDescent="0.2">
      <c r="A11" s="2" t="s">
        <v>70</v>
      </c>
      <c r="B11" s="3"/>
      <c r="C11" s="3"/>
      <c r="D11" s="3">
        <v>2</v>
      </c>
      <c r="E11" s="3"/>
      <c r="F11" s="3">
        <v>2</v>
      </c>
      <c r="H11" s="2" t="s">
        <v>70</v>
      </c>
      <c r="I11" s="3">
        <v>2</v>
      </c>
      <c r="J11" s="3">
        <v>2</v>
      </c>
    </row>
    <row r="12" spans="1:10" x14ac:dyDescent="0.2">
      <c r="A12" s="2" t="s">
        <v>75</v>
      </c>
      <c r="B12" s="3"/>
      <c r="C12" s="3"/>
      <c r="D12" s="3">
        <v>1</v>
      </c>
      <c r="E12" s="3"/>
      <c r="F12" s="3">
        <v>1</v>
      </c>
      <c r="H12" s="2" t="s">
        <v>75</v>
      </c>
      <c r="I12" s="10">
        <v>1</v>
      </c>
      <c r="J12" s="10">
        <v>2</v>
      </c>
    </row>
    <row r="13" spans="1:10" x14ac:dyDescent="0.2">
      <c r="A13" s="2" t="s">
        <v>80</v>
      </c>
      <c r="B13" s="3"/>
      <c r="C13" s="3"/>
      <c r="D13" s="3">
        <v>2</v>
      </c>
      <c r="E13" s="3"/>
      <c r="F13" s="3">
        <v>2</v>
      </c>
      <c r="H13" s="2" t="s">
        <v>80</v>
      </c>
      <c r="I13" s="3">
        <v>2</v>
      </c>
      <c r="J13" s="3">
        <v>2</v>
      </c>
    </row>
    <row r="14" spans="1:10" x14ac:dyDescent="0.2">
      <c r="A14" s="2" t="s">
        <v>85</v>
      </c>
      <c r="B14" s="3">
        <v>-1</v>
      </c>
      <c r="C14" s="3"/>
      <c r="D14" s="3"/>
      <c r="E14" s="3"/>
      <c r="F14" s="3">
        <v>-1</v>
      </c>
      <c r="H14" s="2" t="s">
        <v>85</v>
      </c>
      <c r="I14" s="3"/>
      <c r="J14" s="3"/>
    </row>
    <row r="15" spans="1:10" x14ac:dyDescent="0.2">
      <c r="A15" s="2" t="s">
        <v>90</v>
      </c>
      <c r="B15" s="3"/>
      <c r="C15" s="3"/>
      <c r="D15" s="3">
        <v>1</v>
      </c>
      <c r="E15" s="3"/>
      <c r="F15" s="3">
        <v>1</v>
      </c>
      <c r="H15" s="2" t="s">
        <v>90</v>
      </c>
      <c r="I15" s="10">
        <v>1</v>
      </c>
      <c r="J15" s="10">
        <v>2</v>
      </c>
    </row>
    <row r="16" spans="1:10" x14ac:dyDescent="0.2">
      <c r="A16" s="2" t="s">
        <v>95</v>
      </c>
      <c r="B16" s="3"/>
      <c r="C16" s="3">
        <v>1</v>
      </c>
      <c r="D16" s="3"/>
      <c r="E16" s="3"/>
      <c r="F16" s="3">
        <v>1</v>
      </c>
      <c r="H16" s="2" t="s">
        <v>95</v>
      </c>
      <c r="I16" s="3"/>
      <c r="J16" s="3"/>
    </row>
    <row r="17" spans="1:10" x14ac:dyDescent="0.2">
      <c r="A17" s="2" t="s">
        <v>100</v>
      </c>
      <c r="B17" s="3"/>
      <c r="C17" s="3"/>
      <c r="D17" s="3">
        <v>2</v>
      </c>
      <c r="E17" s="3"/>
      <c r="F17" s="3">
        <v>2</v>
      </c>
      <c r="H17" s="2" t="s">
        <v>100</v>
      </c>
      <c r="I17" s="3">
        <v>2</v>
      </c>
      <c r="J17" s="3">
        <v>2</v>
      </c>
    </row>
    <row r="18" spans="1:10" x14ac:dyDescent="0.2">
      <c r="A18" s="2" t="s">
        <v>105</v>
      </c>
      <c r="B18" s="3"/>
      <c r="C18" s="3"/>
      <c r="D18" s="3">
        <v>2</v>
      </c>
      <c r="E18" s="3"/>
      <c r="F18" s="3">
        <v>2</v>
      </c>
      <c r="H18" s="2" t="s">
        <v>105</v>
      </c>
      <c r="I18" s="3">
        <v>2</v>
      </c>
      <c r="J18" s="3">
        <v>2</v>
      </c>
    </row>
    <row r="19" spans="1:10" x14ac:dyDescent="0.2">
      <c r="A19" s="2" t="s">
        <v>110</v>
      </c>
      <c r="B19" s="3"/>
      <c r="C19" s="3"/>
      <c r="D19" s="3">
        <v>0</v>
      </c>
      <c r="E19" s="3"/>
      <c r="F19" s="3">
        <v>0</v>
      </c>
      <c r="H19" s="2" t="s">
        <v>110</v>
      </c>
      <c r="I19" s="3">
        <v>0</v>
      </c>
      <c r="J19" s="3">
        <v>0</v>
      </c>
    </row>
    <row r="20" spans="1:10" x14ac:dyDescent="0.2">
      <c r="A20" s="2" t="s">
        <v>115</v>
      </c>
      <c r="B20" s="3"/>
      <c r="C20" s="3"/>
      <c r="D20" s="3">
        <v>0</v>
      </c>
      <c r="E20" s="3"/>
      <c r="F20" s="3">
        <v>0</v>
      </c>
      <c r="H20" s="2" t="s">
        <v>115</v>
      </c>
      <c r="I20" s="3">
        <v>0</v>
      </c>
      <c r="J20" s="3">
        <v>0</v>
      </c>
    </row>
    <row r="21" spans="1:10" x14ac:dyDescent="0.2">
      <c r="A21" s="2" t="s">
        <v>120</v>
      </c>
      <c r="B21" s="3"/>
      <c r="C21" s="3"/>
      <c r="D21" s="3">
        <v>2</v>
      </c>
      <c r="E21" s="3"/>
      <c r="F21" s="3">
        <v>2</v>
      </c>
      <c r="H21" s="2" t="s">
        <v>120</v>
      </c>
      <c r="I21" s="3">
        <v>2</v>
      </c>
      <c r="J21" s="3">
        <v>2</v>
      </c>
    </row>
    <row r="22" spans="1:10" x14ac:dyDescent="0.2">
      <c r="A22" s="2" t="s">
        <v>125</v>
      </c>
      <c r="B22" s="3"/>
      <c r="C22" s="3"/>
      <c r="D22" s="3">
        <v>2</v>
      </c>
      <c r="E22" s="3"/>
      <c r="F22" s="3">
        <v>2</v>
      </c>
      <c r="H22" s="2" t="s">
        <v>125</v>
      </c>
      <c r="I22" s="3">
        <v>2</v>
      </c>
      <c r="J22" s="3">
        <v>2</v>
      </c>
    </row>
    <row r="23" spans="1:10" x14ac:dyDescent="0.2">
      <c r="A23" s="2" t="s">
        <v>130</v>
      </c>
      <c r="B23" s="3"/>
      <c r="C23" s="3">
        <v>1</v>
      </c>
      <c r="D23" s="3"/>
      <c r="E23" s="3"/>
      <c r="F23" s="3">
        <v>1</v>
      </c>
      <c r="H23" s="2" t="s">
        <v>130</v>
      </c>
      <c r="I23" s="3"/>
      <c r="J23" s="3"/>
    </row>
    <row r="24" spans="1:10" x14ac:dyDescent="0.2">
      <c r="A24" s="2" t="s">
        <v>135</v>
      </c>
      <c r="B24" s="3"/>
      <c r="C24" s="3">
        <v>1</v>
      </c>
      <c r="D24" s="3"/>
      <c r="E24" s="3"/>
      <c r="F24" s="3">
        <v>1</v>
      </c>
      <c r="H24" s="2" t="s">
        <v>135</v>
      </c>
      <c r="I24" s="3"/>
      <c r="J24" s="3"/>
    </row>
    <row r="25" spans="1:10" x14ac:dyDescent="0.2">
      <c r="A25" s="2" t="s">
        <v>140</v>
      </c>
      <c r="B25" s="3"/>
      <c r="C25" s="3"/>
      <c r="D25" s="3">
        <v>2</v>
      </c>
      <c r="E25" s="3"/>
      <c r="F25" s="3">
        <v>2</v>
      </c>
      <c r="H25" s="2" t="s">
        <v>140</v>
      </c>
      <c r="I25" s="3">
        <v>2</v>
      </c>
      <c r="J25" s="3">
        <v>2</v>
      </c>
    </row>
    <row r="26" spans="1:10" x14ac:dyDescent="0.2">
      <c r="A26" s="2" t="s">
        <v>145</v>
      </c>
      <c r="B26" s="3"/>
      <c r="C26" s="3"/>
      <c r="D26" s="3"/>
      <c r="E26" s="3">
        <v>0</v>
      </c>
      <c r="F26" s="3">
        <v>0</v>
      </c>
      <c r="H26" s="2" t="s">
        <v>145</v>
      </c>
      <c r="I26" s="3"/>
      <c r="J26" s="3"/>
    </row>
    <row r="27" spans="1:10" x14ac:dyDescent="0.2">
      <c r="A27" s="2" t="s">
        <v>150</v>
      </c>
      <c r="B27" s="3"/>
      <c r="C27" s="3">
        <v>1</v>
      </c>
      <c r="D27" s="3"/>
      <c r="E27" s="3"/>
      <c r="F27" s="3">
        <v>1</v>
      </c>
      <c r="H27" s="2" t="s">
        <v>150</v>
      </c>
      <c r="I27" s="3"/>
      <c r="J27" s="3"/>
    </row>
    <row r="28" spans="1:10" x14ac:dyDescent="0.2">
      <c r="A28" s="2" t="s">
        <v>155</v>
      </c>
      <c r="B28" s="3"/>
      <c r="C28" s="3"/>
      <c r="D28" s="3"/>
      <c r="E28" s="3">
        <v>0</v>
      </c>
      <c r="F28" s="3">
        <v>0</v>
      </c>
      <c r="H28" s="2" t="s">
        <v>155</v>
      </c>
      <c r="I28" s="3"/>
      <c r="J28" s="3"/>
    </row>
    <row r="29" spans="1:10" x14ac:dyDescent="0.2">
      <c r="A29" s="2" t="s">
        <v>160</v>
      </c>
      <c r="B29" s="3"/>
      <c r="C29" s="3"/>
      <c r="D29" s="3">
        <v>1</v>
      </c>
      <c r="E29" s="3"/>
      <c r="F29" s="3">
        <v>1</v>
      </c>
      <c r="H29" s="2" t="s">
        <v>160</v>
      </c>
      <c r="I29" s="3">
        <v>1</v>
      </c>
      <c r="J29" s="3">
        <v>1</v>
      </c>
    </row>
    <row r="30" spans="1:10" x14ac:dyDescent="0.2">
      <c r="A30" s="2" t="s">
        <v>165</v>
      </c>
      <c r="B30" s="3">
        <v>-1</v>
      </c>
      <c r="C30" s="3"/>
      <c r="D30" s="3"/>
      <c r="E30" s="3"/>
      <c r="F30" s="3">
        <v>-1</v>
      </c>
      <c r="H30" s="2" t="s">
        <v>165</v>
      </c>
      <c r="I30" s="3"/>
      <c r="J30" s="3"/>
    </row>
    <row r="31" spans="1:10" x14ac:dyDescent="0.2">
      <c r="A31" s="2" t="s">
        <v>170</v>
      </c>
      <c r="B31" s="3">
        <v>-1</v>
      </c>
      <c r="C31" s="3"/>
      <c r="D31" s="3"/>
      <c r="E31" s="3"/>
      <c r="F31" s="3">
        <v>-1</v>
      </c>
      <c r="H31" s="2" t="s">
        <v>170</v>
      </c>
      <c r="I31" s="3"/>
      <c r="J31" s="3"/>
    </row>
    <row r="32" spans="1:10" x14ac:dyDescent="0.2">
      <c r="A32" s="2" t="s">
        <v>20</v>
      </c>
      <c r="B32" s="3"/>
      <c r="C32" s="3"/>
      <c r="D32" s="3">
        <v>0</v>
      </c>
      <c r="E32" s="3"/>
      <c r="F32" s="3">
        <v>0</v>
      </c>
      <c r="H32" s="2" t="s">
        <v>20</v>
      </c>
      <c r="I32" s="3">
        <v>0</v>
      </c>
      <c r="J32" s="3">
        <v>0</v>
      </c>
    </row>
    <row r="33" spans="1:10" x14ac:dyDescent="0.2">
      <c r="A33" s="2" t="s">
        <v>27</v>
      </c>
      <c r="B33" s="3"/>
      <c r="C33" s="3"/>
      <c r="D33" s="3"/>
      <c r="E33" s="3">
        <v>0</v>
      </c>
      <c r="F33" s="3">
        <v>0</v>
      </c>
      <c r="H33" s="2" t="s">
        <v>27</v>
      </c>
      <c r="I33" s="3"/>
      <c r="J33" s="3"/>
    </row>
    <row r="34" spans="1:10" x14ac:dyDescent="0.2">
      <c r="A34" s="2" t="s">
        <v>33</v>
      </c>
      <c r="B34" s="3"/>
      <c r="C34" s="3"/>
      <c r="D34" s="3">
        <v>0</v>
      </c>
      <c r="E34" s="3"/>
      <c r="F34" s="3">
        <v>0</v>
      </c>
      <c r="H34" s="2" t="s">
        <v>33</v>
      </c>
      <c r="I34" s="3">
        <v>0</v>
      </c>
      <c r="J34" s="3">
        <v>0</v>
      </c>
    </row>
    <row r="35" spans="1:10" x14ac:dyDescent="0.2">
      <c r="A35" s="2" t="s">
        <v>261</v>
      </c>
      <c r="B35" s="7">
        <v>-1</v>
      </c>
      <c r="C35" s="7">
        <v>1</v>
      </c>
      <c r="D35" s="7">
        <v>1.2666666666666666</v>
      </c>
      <c r="E35" s="7">
        <v>-0.4</v>
      </c>
      <c r="F35" s="7">
        <v>0.56666666666666665</v>
      </c>
      <c r="G35" s="7">
        <f>AVERAGE(B35:E35)</f>
        <v>0.21666666666666665</v>
      </c>
      <c r="H35" s="8" t="s">
        <v>261</v>
      </c>
      <c r="I35" s="9">
        <v>1.2666666666666666</v>
      </c>
      <c r="J35" s="9">
        <v>1.4</v>
      </c>
    </row>
    <row r="39" spans="1:10" x14ac:dyDescent="0.2">
      <c r="A39" s="1" t="s">
        <v>15</v>
      </c>
      <c r="B39" t="s">
        <v>25</v>
      </c>
    </row>
    <row r="41" spans="1:10" x14ac:dyDescent="0.2">
      <c r="A41" s="1" t="s">
        <v>264</v>
      </c>
      <c r="B41" s="1" t="s">
        <v>262</v>
      </c>
    </row>
    <row r="42" spans="1:10" x14ac:dyDescent="0.2">
      <c r="A42" s="1" t="s">
        <v>260</v>
      </c>
      <c r="B42" t="s">
        <v>44</v>
      </c>
      <c r="C42" t="s">
        <v>50</v>
      </c>
      <c r="D42" t="s">
        <v>21</v>
      </c>
      <c r="E42" t="s">
        <v>28</v>
      </c>
      <c r="F42" t="s">
        <v>261</v>
      </c>
    </row>
    <row r="43" spans="1:10" x14ac:dyDescent="0.2">
      <c r="A43" s="2" t="s">
        <v>38</v>
      </c>
      <c r="B43" s="3"/>
      <c r="C43" s="3"/>
      <c r="D43" s="3"/>
      <c r="E43" s="3">
        <v>-2</v>
      </c>
      <c r="F43" s="3">
        <v>-2</v>
      </c>
      <c r="H43" s="3">
        <v>-2</v>
      </c>
      <c r="I43" s="3">
        <v>-2</v>
      </c>
    </row>
    <row r="44" spans="1:10" x14ac:dyDescent="0.2">
      <c r="A44" s="2" t="s">
        <v>43</v>
      </c>
      <c r="B44" s="3">
        <v>-1</v>
      </c>
      <c r="C44" s="3"/>
      <c r="D44" s="3"/>
      <c r="E44" s="3"/>
      <c r="F44" s="3">
        <v>-1</v>
      </c>
      <c r="H44" s="3"/>
      <c r="I44" s="3">
        <v>-1</v>
      </c>
    </row>
    <row r="45" spans="1:10" x14ac:dyDescent="0.2">
      <c r="A45" s="2" t="s">
        <v>49</v>
      </c>
      <c r="B45" s="3"/>
      <c r="C45" s="3">
        <v>1</v>
      </c>
      <c r="D45" s="3"/>
      <c r="E45" s="3"/>
      <c r="F45" s="3">
        <v>1</v>
      </c>
      <c r="H45" s="3"/>
      <c r="I45" s="3">
        <v>1</v>
      </c>
    </row>
    <row r="46" spans="1:10" x14ac:dyDescent="0.2">
      <c r="A46" s="2" t="s">
        <v>55</v>
      </c>
      <c r="B46" s="3"/>
      <c r="C46" s="3"/>
      <c r="D46" s="3">
        <v>2</v>
      </c>
      <c r="E46" s="3"/>
      <c r="F46" s="3">
        <v>2</v>
      </c>
      <c r="H46" s="3"/>
      <c r="I46" s="3">
        <v>2</v>
      </c>
    </row>
    <row r="47" spans="1:10" x14ac:dyDescent="0.2">
      <c r="A47" s="2" t="s">
        <v>60</v>
      </c>
      <c r="B47" s="3">
        <v>-1</v>
      </c>
      <c r="C47" s="3"/>
      <c r="D47" s="3"/>
      <c r="E47" s="3"/>
      <c r="F47" s="3">
        <v>-1</v>
      </c>
      <c r="H47" s="3"/>
      <c r="I47" s="3">
        <v>-1</v>
      </c>
    </row>
    <row r="48" spans="1:10" x14ac:dyDescent="0.2">
      <c r="A48" s="2" t="s">
        <v>65</v>
      </c>
      <c r="B48" s="3"/>
      <c r="C48" s="3"/>
      <c r="D48" s="3"/>
      <c r="E48" s="3">
        <v>0</v>
      </c>
      <c r="F48" s="3">
        <v>0</v>
      </c>
      <c r="H48" s="3">
        <v>0</v>
      </c>
      <c r="I48" s="3">
        <v>0</v>
      </c>
    </row>
    <row r="49" spans="1:9" x14ac:dyDescent="0.2">
      <c r="A49" s="2" t="s">
        <v>70</v>
      </c>
      <c r="B49" s="3"/>
      <c r="C49" s="3"/>
      <c r="D49" s="3">
        <v>2</v>
      </c>
      <c r="E49" s="3"/>
      <c r="F49" s="3">
        <v>2</v>
      </c>
      <c r="H49" s="3"/>
      <c r="I49" s="3">
        <v>2</v>
      </c>
    </row>
    <row r="50" spans="1:9" x14ac:dyDescent="0.2">
      <c r="A50" s="2" t="s">
        <v>75</v>
      </c>
      <c r="B50" s="3"/>
      <c r="C50" s="3"/>
      <c r="D50" s="3">
        <v>2</v>
      </c>
      <c r="E50" s="3"/>
      <c r="F50" s="3">
        <v>2</v>
      </c>
      <c r="H50" s="3"/>
      <c r="I50" s="3">
        <v>2</v>
      </c>
    </row>
    <row r="51" spans="1:9" x14ac:dyDescent="0.2">
      <c r="A51" s="2" t="s">
        <v>80</v>
      </c>
      <c r="B51" s="3"/>
      <c r="C51" s="3"/>
      <c r="D51" s="3">
        <v>2</v>
      </c>
      <c r="E51" s="3"/>
      <c r="F51" s="3">
        <v>2</v>
      </c>
      <c r="H51" s="3"/>
      <c r="I51" s="3">
        <v>2</v>
      </c>
    </row>
    <row r="52" spans="1:9" x14ac:dyDescent="0.2">
      <c r="A52" s="2" t="s">
        <v>85</v>
      </c>
      <c r="B52" s="3">
        <v>-1</v>
      </c>
      <c r="C52" s="3"/>
      <c r="D52" s="3"/>
      <c r="E52" s="3"/>
      <c r="F52" s="3">
        <v>-1</v>
      </c>
      <c r="H52" s="3"/>
      <c r="I52" s="3">
        <v>-1</v>
      </c>
    </row>
    <row r="53" spans="1:9" x14ac:dyDescent="0.2">
      <c r="A53" s="2" t="s">
        <v>90</v>
      </c>
      <c r="B53" s="3"/>
      <c r="C53" s="3"/>
      <c r="D53" s="3">
        <v>2</v>
      </c>
      <c r="E53" s="3"/>
      <c r="F53" s="3">
        <v>2</v>
      </c>
      <c r="H53" s="3"/>
      <c r="I53" s="3">
        <v>2</v>
      </c>
    </row>
    <row r="54" spans="1:9" x14ac:dyDescent="0.2">
      <c r="A54" s="2" t="s">
        <v>95</v>
      </c>
      <c r="B54" s="3"/>
      <c r="C54" s="3">
        <v>1</v>
      </c>
      <c r="D54" s="3"/>
      <c r="E54" s="3"/>
      <c r="F54" s="3">
        <v>1</v>
      </c>
      <c r="H54" s="3"/>
      <c r="I54" s="3">
        <v>1</v>
      </c>
    </row>
    <row r="55" spans="1:9" x14ac:dyDescent="0.2">
      <c r="A55" s="2" t="s">
        <v>100</v>
      </c>
      <c r="B55" s="3"/>
      <c r="C55" s="3"/>
      <c r="D55" s="3">
        <v>2</v>
      </c>
      <c r="E55" s="3"/>
      <c r="F55" s="3">
        <v>2</v>
      </c>
      <c r="H55" s="3"/>
      <c r="I55" s="3">
        <v>2</v>
      </c>
    </row>
    <row r="56" spans="1:9" x14ac:dyDescent="0.2">
      <c r="A56" s="2" t="s">
        <v>105</v>
      </c>
      <c r="B56" s="3"/>
      <c r="C56" s="3"/>
      <c r="D56" s="3">
        <v>2</v>
      </c>
      <c r="E56" s="3"/>
      <c r="F56" s="3">
        <v>2</v>
      </c>
      <c r="H56" s="3"/>
      <c r="I56" s="3">
        <v>2</v>
      </c>
    </row>
    <row r="57" spans="1:9" x14ac:dyDescent="0.2">
      <c r="A57" s="2" t="s">
        <v>110</v>
      </c>
      <c r="B57" s="3"/>
      <c r="C57" s="3"/>
      <c r="D57" s="3">
        <v>0</v>
      </c>
      <c r="E57" s="3"/>
      <c r="F57" s="3">
        <v>0</v>
      </c>
      <c r="H57" s="3"/>
      <c r="I57" s="3">
        <v>0</v>
      </c>
    </row>
    <row r="58" spans="1:9" x14ac:dyDescent="0.2">
      <c r="A58" s="2" t="s">
        <v>115</v>
      </c>
      <c r="B58" s="3"/>
      <c r="C58" s="3"/>
      <c r="D58" s="3">
        <v>0</v>
      </c>
      <c r="E58" s="3"/>
      <c r="F58" s="3">
        <v>0</v>
      </c>
      <c r="H58" s="3"/>
      <c r="I58" s="3">
        <v>0</v>
      </c>
    </row>
    <row r="59" spans="1:9" x14ac:dyDescent="0.2">
      <c r="A59" s="2" t="s">
        <v>120</v>
      </c>
      <c r="B59" s="3"/>
      <c r="C59" s="3"/>
      <c r="D59" s="3">
        <v>2</v>
      </c>
      <c r="E59" s="3"/>
      <c r="F59" s="3">
        <v>2</v>
      </c>
      <c r="H59" s="3"/>
      <c r="I59" s="3">
        <v>2</v>
      </c>
    </row>
    <row r="60" spans="1:9" x14ac:dyDescent="0.2">
      <c r="A60" s="2" t="s">
        <v>125</v>
      </c>
      <c r="B60" s="3"/>
      <c r="C60" s="3"/>
      <c r="D60" s="3">
        <v>2</v>
      </c>
      <c r="E60" s="3"/>
      <c r="F60" s="3">
        <v>2</v>
      </c>
      <c r="H60" s="3"/>
      <c r="I60" s="3">
        <v>2</v>
      </c>
    </row>
    <row r="61" spans="1:9" x14ac:dyDescent="0.2">
      <c r="A61" s="2" t="s">
        <v>130</v>
      </c>
      <c r="B61" s="3"/>
      <c r="C61" s="3">
        <v>1</v>
      </c>
      <c r="D61" s="3"/>
      <c r="E61" s="3"/>
      <c r="F61" s="3">
        <v>1</v>
      </c>
      <c r="H61" s="3"/>
      <c r="I61" s="3">
        <v>1</v>
      </c>
    </row>
    <row r="62" spans="1:9" x14ac:dyDescent="0.2">
      <c r="A62" s="2" t="s">
        <v>135</v>
      </c>
      <c r="B62" s="3"/>
      <c r="C62" s="3">
        <v>1</v>
      </c>
      <c r="D62" s="3"/>
      <c r="E62" s="3"/>
      <c r="F62" s="3">
        <v>1</v>
      </c>
      <c r="H62" s="3"/>
      <c r="I62" s="3">
        <v>1</v>
      </c>
    </row>
    <row r="63" spans="1:9" x14ac:dyDescent="0.2">
      <c r="A63" s="2" t="s">
        <v>140</v>
      </c>
      <c r="B63" s="3"/>
      <c r="C63" s="3"/>
      <c r="D63" s="3">
        <v>2</v>
      </c>
      <c r="E63" s="3"/>
      <c r="F63" s="3">
        <v>2</v>
      </c>
      <c r="H63" s="3"/>
      <c r="I63" s="3">
        <v>2</v>
      </c>
    </row>
    <row r="64" spans="1:9" x14ac:dyDescent="0.2">
      <c r="A64" s="2" t="s">
        <v>145</v>
      </c>
      <c r="B64" s="3"/>
      <c r="C64" s="3"/>
      <c r="D64" s="3"/>
      <c r="E64" s="3">
        <v>0</v>
      </c>
      <c r="F64" s="3">
        <v>0</v>
      </c>
      <c r="H64" s="3">
        <v>0</v>
      </c>
      <c r="I64" s="3">
        <v>0</v>
      </c>
    </row>
    <row r="65" spans="1:9" x14ac:dyDescent="0.2">
      <c r="A65" s="2" t="s">
        <v>150</v>
      </c>
      <c r="B65" s="3"/>
      <c r="C65" s="3">
        <v>1</v>
      </c>
      <c r="D65" s="3"/>
      <c r="E65" s="3"/>
      <c r="F65" s="3">
        <v>1</v>
      </c>
      <c r="H65" s="3"/>
      <c r="I65" s="3">
        <v>1</v>
      </c>
    </row>
    <row r="66" spans="1:9" x14ac:dyDescent="0.2">
      <c r="A66" s="2" t="s">
        <v>155</v>
      </c>
      <c r="B66" s="3"/>
      <c r="C66" s="3"/>
      <c r="D66" s="3"/>
      <c r="E66" s="3">
        <v>0</v>
      </c>
      <c r="F66" s="3">
        <v>0</v>
      </c>
      <c r="H66" s="3">
        <v>0</v>
      </c>
      <c r="I66" s="3">
        <v>0</v>
      </c>
    </row>
    <row r="67" spans="1:9" x14ac:dyDescent="0.2">
      <c r="A67" s="2" t="s">
        <v>160</v>
      </c>
      <c r="B67" s="3"/>
      <c r="C67" s="3"/>
      <c r="D67" s="3">
        <v>1</v>
      </c>
      <c r="E67" s="3"/>
      <c r="F67" s="3">
        <v>1</v>
      </c>
      <c r="H67" s="3"/>
      <c r="I67" s="3">
        <v>1</v>
      </c>
    </row>
    <row r="68" spans="1:9" x14ac:dyDescent="0.2">
      <c r="A68" s="2" t="s">
        <v>165</v>
      </c>
      <c r="B68" s="3">
        <v>-1</v>
      </c>
      <c r="C68" s="3"/>
      <c r="D68" s="3"/>
      <c r="E68" s="3"/>
      <c r="F68" s="3">
        <v>-1</v>
      </c>
      <c r="H68" s="3"/>
      <c r="I68" s="3">
        <v>-1</v>
      </c>
    </row>
    <row r="69" spans="1:9" x14ac:dyDescent="0.2">
      <c r="A69" s="2" t="s">
        <v>170</v>
      </c>
      <c r="B69" s="3">
        <v>-1</v>
      </c>
      <c r="C69" s="3"/>
      <c r="D69" s="3"/>
      <c r="E69" s="3"/>
      <c r="F69" s="3">
        <v>-1</v>
      </c>
      <c r="H69" s="3"/>
      <c r="I69" s="3">
        <v>-1</v>
      </c>
    </row>
    <row r="70" spans="1:9" x14ac:dyDescent="0.2">
      <c r="A70" s="2" t="s">
        <v>20</v>
      </c>
      <c r="B70" s="3"/>
      <c r="C70" s="3"/>
      <c r="D70" s="3">
        <v>0</v>
      </c>
      <c r="E70" s="3"/>
      <c r="F70" s="3">
        <v>0</v>
      </c>
      <c r="H70" s="3"/>
      <c r="I70" s="3">
        <v>0</v>
      </c>
    </row>
    <row r="71" spans="1:9" x14ac:dyDescent="0.2">
      <c r="A71" s="2" t="s">
        <v>27</v>
      </c>
      <c r="B71" s="3"/>
      <c r="C71" s="3"/>
      <c r="D71" s="3"/>
      <c r="E71" s="3">
        <v>0</v>
      </c>
      <c r="F71" s="3">
        <v>0</v>
      </c>
      <c r="H71" s="3">
        <v>0</v>
      </c>
      <c r="I71" s="3">
        <v>0</v>
      </c>
    </row>
    <row r="72" spans="1:9" x14ac:dyDescent="0.2">
      <c r="A72" s="2" t="s">
        <v>33</v>
      </c>
      <c r="B72" s="3"/>
      <c r="C72" s="3"/>
      <c r="D72" s="3">
        <v>0</v>
      </c>
      <c r="E72" s="3"/>
      <c r="F72" s="3">
        <v>0</v>
      </c>
      <c r="H72" s="3"/>
      <c r="I72" s="3">
        <v>0</v>
      </c>
    </row>
    <row r="73" spans="1:9" x14ac:dyDescent="0.2">
      <c r="A73" s="2" t="s">
        <v>261</v>
      </c>
      <c r="B73" s="7">
        <v>-1</v>
      </c>
      <c r="C73" s="7">
        <v>1</v>
      </c>
      <c r="D73" s="7">
        <v>1.4</v>
      </c>
      <c r="E73" s="7">
        <v>-0.4</v>
      </c>
      <c r="F73" s="7">
        <v>0.6333333333333333</v>
      </c>
      <c r="H73">
        <f>2/5</f>
        <v>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0A9E-CAAC-1840-838C-9129F01E3081}">
  <dimension ref="A3:D15"/>
  <sheetViews>
    <sheetView workbookViewId="0">
      <selection activeCell="B16" sqref="B16"/>
    </sheetView>
  </sheetViews>
  <sheetFormatPr baseColWidth="10" defaultRowHeight="16" x14ac:dyDescent="0.2"/>
  <cols>
    <col min="1" max="1" width="14.5" bestFit="1" customWidth="1"/>
    <col min="2" max="2" width="28.5" bestFit="1" customWidth="1"/>
    <col min="3" max="3" width="32" bestFit="1" customWidth="1"/>
    <col min="4" max="4" width="10.5" bestFit="1" customWidth="1"/>
    <col min="5" max="5" width="28.5" bestFit="1" customWidth="1"/>
    <col min="6" max="6" width="32" bestFit="1" customWidth="1"/>
    <col min="7" max="7" width="9.6640625" bestFit="1" customWidth="1"/>
    <col min="8" max="10" width="10.5" bestFit="1" customWidth="1"/>
  </cols>
  <sheetData>
    <row r="3" spans="1:4" x14ac:dyDescent="0.2">
      <c r="A3" s="1" t="s">
        <v>269</v>
      </c>
      <c r="B3" s="1" t="s">
        <v>262</v>
      </c>
    </row>
    <row r="4" spans="1:4" x14ac:dyDescent="0.2">
      <c r="A4" s="1" t="s">
        <v>260</v>
      </c>
      <c r="B4" t="s">
        <v>25</v>
      </c>
      <c r="C4" t="s">
        <v>177</v>
      </c>
      <c r="D4" t="s">
        <v>261</v>
      </c>
    </row>
    <row r="5" spans="1:4" x14ac:dyDescent="0.2">
      <c r="A5" s="2" t="s">
        <v>44</v>
      </c>
      <c r="B5" s="3">
        <v>5</v>
      </c>
      <c r="C5" s="3">
        <v>5</v>
      </c>
      <c r="D5" s="3">
        <v>10</v>
      </c>
    </row>
    <row r="6" spans="1:4" x14ac:dyDescent="0.2">
      <c r="A6" s="6" t="s">
        <v>267</v>
      </c>
      <c r="B6" s="3">
        <v>5</v>
      </c>
      <c r="C6" s="3">
        <v>5</v>
      </c>
      <c r="D6" s="3">
        <v>10</v>
      </c>
    </row>
    <row r="7" spans="1:4" x14ac:dyDescent="0.2">
      <c r="A7" s="2" t="s">
        <v>50</v>
      </c>
      <c r="B7" s="3">
        <v>5</v>
      </c>
      <c r="C7" s="3">
        <v>5</v>
      </c>
      <c r="D7" s="3">
        <v>10</v>
      </c>
    </row>
    <row r="8" spans="1:4" x14ac:dyDescent="0.2">
      <c r="A8" s="6" t="s">
        <v>267</v>
      </c>
      <c r="B8" s="3">
        <v>5</v>
      </c>
      <c r="C8" s="3">
        <v>5</v>
      </c>
      <c r="D8" s="3">
        <v>10</v>
      </c>
    </row>
    <row r="9" spans="1:4" x14ac:dyDescent="0.2">
      <c r="A9" s="2" t="s">
        <v>21</v>
      </c>
      <c r="B9" s="3">
        <v>15</v>
      </c>
      <c r="C9" s="3">
        <v>15</v>
      </c>
      <c r="D9" s="3">
        <v>30</v>
      </c>
    </row>
    <row r="10" spans="1:4" x14ac:dyDescent="0.2">
      <c r="A10" s="6" t="s">
        <v>267</v>
      </c>
      <c r="B10" s="3">
        <v>11</v>
      </c>
      <c r="C10" s="3">
        <v>11</v>
      </c>
      <c r="D10" s="3">
        <v>22</v>
      </c>
    </row>
    <row r="11" spans="1:4" x14ac:dyDescent="0.2">
      <c r="A11" s="6" t="s">
        <v>268</v>
      </c>
      <c r="B11" s="3">
        <v>4</v>
      </c>
      <c r="C11" s="3">
        <v>4</v>
      </c>
      <c r="D11" s="3">
        <v>8</v>
      </c>
    </row>
    <row r="12" spans="1:4" x14ac:dyDescent="0.2">
      <c r="A12" s="2" t="s">
        <v>28</v>
      </c>
      <c r="B12" s="3">
        <v>5</v>
      </c>
      <c r="C12" s="3">
        <v>5</v>
      </c>
      <c r="D12" s="3">
        <v>10</v>
      </c>
    </row>
    <row r="13" spans="1:4" x14ac:dyDescent="0.2">
      <c r="A13" s="6" t="s">
        <v>267</v>
      </c>
      <c r="B13" s="3">
        <v>1</v>
      </c>
      <c r="C13" s="3">
        <v>1</v>
      </c>
      <c r="D13" s="3">
        <v>2</v>
      </c>
    </row>
    <row r="14" spans="1:4" x14ac:dyDescent="0.2">
      <c r="A14" s="6" t="s">
        <v>268</v>
      </c>
      <c r="B14" s="3">
        <v>4</v>
      </c>
      <c r="C14" s="3">
        <v>4</v>
      </c>
      <c r="D14" s="3">
        <v>8</v>
      </c>
    </row>
    <row r="15" spans="1:4" x14ac:dyDescent="0.2">
      <c r="A15" s="2" t="s">
        <v>261</v>
      </c>
      <c r="B15" s="3">
        <v>30</v>
      </c>
      <c r="C15" s="3">
        <v>30</v>
      </c>
      <c r="D15" s="3">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7167-2A23-D84D-A47D-9F380D9C8D8E}">
  <dimension ref="A1:T62"/>
  <sheetViews>
    <sheetView tabSelected="1" workbookViewId="0">
      <selection activeCell="I63" sqref="I63"/>
    </sheetView>
  </sheetViews>
  <sheetFormatPr baseColWidth="10" defaultRowHeight="16" x14ac:dyDescent="0.2"/>
  <cols>
    <col min="2" max="2" width="24.83203125" bestFit="1" customWidth="1"/>
    <col min="14" max="14" width="82.6640625" customWidth="1"/>
    <col min="15" max="15" width="26.1640625" customWidth="1"/>
    <col min="16" max="16" width="164.5" bestFit="1" customWidth="1"/>
    <col min="17" max="17" width="31" bestFit="1" customWidth="1"/>
  </cols>
  <sheetData>
    <row r="1" spans="1:20" x14ac:dyDescent="0.2">
      <c r="A1" t="s">
        <v>0</v>
      </c>
      <c r="B1" t="s">
        <v>1</v>
      </c>
      <c r="C1" t="s">
        <v>2</v>
      </c>
      <c r="D1" t="s">
        <v>3</v>
      </c>
      <c r="E1" t="s">
        <v>4</v>
      </c>
      <c r="F1" t="s">
        <v>5</v>
      </c>
      <c r="G1" t="s">
        <v>6</v>
      </c>
      <c r="H1" t="s">
        <v>7</v>
      </c>
      <c r="I1" t="s">
        <v>271</v>
      </c>
      <c r="J1" t="s">
        <v>8</v>
      </c>
      <c r="K1" t="s">
        <v>9</v>
      </c>
      <c r="L1" t="s">
        <v>10</v>
      </c>
      <c r="M1" t="s">
        <v>11</v>
      </c>
      <c r="N1" t="s">
        <v>12</v>
      </c>
      <c r="O1" t="s">
        <v>13</v>
      </c>
      <c r="P1" t="s">
        <v>14</v>
      </c>
      <c r="Q1" t="s">
        <v>15</v>
      </c>
      <c r="R1" t="s">
        <v>16</v>
      </c>
      <c r="S1" t="s">
        <v>17</v>
      </c>
      <c r="T1" t="s">
        <v>18</v>
      </c>
    </row>
    <row r="2" spans="1:20" x14ac:dyDescent="0.2">
      <c r="A2" t="s">
        <v>48</v>
      </c>
      <c r="B2" t="s">
        <v>49</v>
      </c>
      <c r="C2" t="b">
        <v>1</v>
      </c>
      <c r="D2" t="b">
        <v>1</v>
      </c>
      <c r="E2" t="b">
        <v>1</v>
      </c>
      <c r="F2" t="s">
        <v>28</v>
      </c>
      <c r="G2" t="s">
        <v>50</v>
      </c>
      <c r="H2" t="b">
        <v>0</v>
      </c>
      <c r="I2">
        <f>IF(H2,1, 0 )</f>
        <v>0</v>
      </c>
      <c r="J2" t="b">
        <v>1</v>
      </c>
      <c r="K2">
        <v>1</v>
      </c>
      <c r="L2" t="b">
        <v>0</v>
      </c>
      <c r="M2" t="b">
        <v>1</v>
      </c>
      <c r="N2" t="s">
        <v>51</v>
      </c>
      <c r="O2" t="s">
        <v>52</v>
      </c>
      <c r="P2" t="s">
        <v>53</v>
      </c>
      <c r="Q2" t="s">
        <v>25</v>
      </c>
      <c r="R2">
        <v>2</v>
      </c>
      <c r="S2">
        <v>1</v>
      </c>
      <c r="T2">
        <v>1</v>
      </c>
    </row>
    <row r="3" spans="1:20" x14ac:dyDescent="0.2">
      <c r="A3" t="s">
        <v>48</v>
      </c>
      <c r="B3" t="s">
        <v>49</v>
      </c>
      <c r="C3" t="b">
        <v>1</v>
      </c>
      <c r="D3" t="b">
        <v>1</v>
      </c>
      <c r="E3" t="b">
        <v>0</v>
      </c>
      <c r="F3" t="s">
        <v>28</v>
      </c>
      <c r="G3" t="s">
        <v>50</v>
      </c>
      <c r="H3" t="b">
        <v>0</v>
      </c>
      <c r="I3">
        <f t="shared" ref="I3:I61" si="0">IF(H3,1, 0 )</f>
        <v>0</v>
      </c>
      <c r="J3" t="b">
        <v>1</v>
      </c>
      <c r="K3">
        <v>1</v>
      </c>
      <c r="L3" t="b">
        <v>0</v>
      </c>
      <c r="M3" t="b">
        <v>1</v>
      </c>
      <c r="N3" t="s">
        <v>190</v>
      </c>
      <c r="O3" t="s">
        <v>191</v>
      </c>
      <c r="P3" t="s">
        <v>192</v>
      </c>
      <c r="Q3" t="s">
        <v>177</v>
      </c>
      <c r="R3">
        <v>2</v>
      </c>
      <c r="S3">
        <v>1</v>
      </c>
      <c r="T3">
        <v>1</v>
      </c>
    </row>
    <row r="4" spans="1:20" x14ac:dyDescent="0.2">
      <c r="A4" t="s">
        <v>42</v>
      </c>
      <c r="B4" t="s">
        <v>43</v>
      </c>
      <c r="C4" t="b">
        <v>1</v>
      </c>
      <c r="D4" t="b">
        <v>1</v>
      </c>
      <c r="E4" t="b">
        <v>1</v>
      </c>
      <c r="F4" t="s">
        <v>28</v>
      </c>
      <c r="G4" t="s">
        <v>44</v>
      </c>
      <c r="H4" t="b">
        <v>0</v>
      </c>
      <c r="I4">
        <f t="shared" si="0"/>
        <v>0</v>
      </c>
      <c r="J4" t="b">
        <v>1</v>
      </c>
      <c r="K4">
        <v>-1</v>
      </c>
      <c r="L4" t="b">
        <v>1</v>
      </c>
      <c r="M4" t="b">
        <v>0</v>
      </c>
      <c r="N4" t="s">
        <v>45</v>
      </c>
      <c r="O4" t="s">
        <v>46</v>
      </c>
      <c r="P4" t="s">
        <v>47</v>
      </c>
      <c r="Q4" t="s">
        <v>25</v>
      </c>
      <c r="R4">
        <v>2</v>
      </c>
      <c r="S4">
        <v>3</v>
      </c>
      <c r="T4">
        <v>-1</v>
      </c>
    </row>
    <row r="5" spans="1:20" x14ac:dyDescent="0.2">
      <c r="A5" t="s">
        <v>42</v>
      </c>
      <c r="B5" t="s">
        <v>43</v>
      </c>
      <c r="C5" t="b">
        <v>1</v>
      </c>
      <c r="D5" t="b">
        <v>1</v>
      </c>
      <c r="E5" t="b">
        <v>0</v>
      </c>
      <c r="F5" t="s">
        <v>28</v>
      </c>
      <c r="G5" t="s">
        <v>44</v>
      </c>
      <c r="H5" t="b">
        <v>0</v>
      </c>
      <c r="I5">
        <f t="shared" si="0"/>
        <v>0</v>
      </c>
      <c r="J5" t="b">
        <v>1</v>
      </c>
      <c r="K5">
        <v>-1</v>
      </c>
      <c r="L5" t="b">
        <v>1</v>
      </c>
      <c r="M5" t="b">
        <v>0</v>
      </c>
      <c r="N5" t="s">
        <v>187</v>
      </c>
      <c r="O5" t="s">
        <v>188</v>
      </c>
      <c r="P5" t="s">
        <v>189</v>
      </c>
      <c r="Q5" t="s">
        <v>177</v>
      </c>
      <c r="R5">
        <v>2</v>
      </c>
      <c r="S5">
        <v>3</v>
      </c>
      <c r="T5">
        <v>-1</v>
      </c>
    </row>
    <row r="6" spans="1:20" x14ac:dyDescent="0.2">
      <c r="A6" t="s">
        <v>94</v>
      </c>
      <c r="B6" t="s">
        <v>95</v>
      </c>
      <c r="C6" t="b">
        <v>1</v>
      </c>
      <c r="D6" t="b">
        <v>1</v>
      </c>
      <c r="E6" t="b">
        <v>1</v>
      </c>
      <c r="F6" t="s">
        <v>28</v>
      </c>
      <c r="G6" t="s">
        <v>50</v>
      </c>
      <c r="H6" t="b">
        <v>0</v>
      </c>
      <c r="I6">
        <f t="shared" si="0"/>
        <v>0</v>
      </c>
      <c r="J6" t="b">
        <v>1</v>
      </c>
      <c r="K6">
        <v>1</v>
      </c>
      <c r="L6" t="b">
        <v>0</v>
      </c>
      <c r="M6" t="b">
        <v>1</v>
      </c>
      <c r="N6" t="s">
        <v>96</v>
      </c>
      <c r="O6" t="s">
        <v>97</v>
      </c>
      <c r="P6" t="s">
        <v>98</v>
      </c>
      <c r="Q6" t="s">
        <v>25</v>
      </c>
      <c r="R6">
        <v>2</v>
      </c>
      <c r="S6">
        <v>1</v>
      </c>
      <c r="T6">
        <v>1</v>
      </c>
    </row>
    <row r="7" spans="1:20" x14ac:dyDescent="0.2">
      <c r="A7" t="s">
        <v>94</v>
      </c>
      <c r="B7" t="s">
        <v>95</v>
      </c>
      <c r="C7" t="b">
        <v>1</v>
      </c>
      <c r="D7" t="b">
        <v>1</v>
      </c>
      <c r="E7" t="b">
        <v>0</v>
      </c>
      <c r="F7" t="s">
        <v>28</v>
      </c>
      <c r="G7" t="s">
        <v>50</v>
      </c>
      <c r="H7" t="b">
        <v>0</v>
      </c>
      <c r="I7">
        <f t="shared" si="0"/>
        <v>0</v>
      </c>
      <c r="J7" t="b">
        <v>1</v>
      </c>
      <c r="K7">
        <v>1</v>
      </c>
      <c r="L7" t="b">
        <v>0</v>
      </c>
      <c r="M7" t="b">
        <v>1</v>
      </c>
      <c r="N7" t="s">
        <v>214</v>
      </c>
      <c r="O7" t="s">
        <v>215</v>
      </c>
      <c r="P7" t="s">
        <v>216</v>
      </c>
      <c r="Q7" t="s">
        <v>177</v>
      </c>
      <c r="R7">
        <v>2</v>
      </c>
      <c r="S7">
        <v>1</v>
      </c>
      <c r="T7">
        <v>1</v>
      </c>
    </row>
    <row r="8" spans="1:20" x14ac:dyDescent="0.2">
      <c r="A8" t="s">
        <v>129</v>
      </c>
      <c r="B8" t="s">
        <v>130</v>
      </c>
      <c r="C8" t="b">
        <v>1</v>
      </c>
      <c r="D8" t="b">
        <v>1</v>
      </c>
      <c r="E8" t="b">
        <v>1</v>
      </c>
      <c r="F8" t="s">
        <v>28</v>
      </c>
      <c r="G8" t="s">
        <v>50</v>
      </c>
      <c r="H8" t="b">
        <v>0</v>
      </c>
      <c r="I8">
        <f t="shared" si="0"/>
        <v>0</v>
      </c>
      <c r="J8" t="b">
        <v>1</v>
      </c>
      <c r="K8">
        <v>1</v>
      </c>
      <c r="L8" t="b">
        <v>0</v>
      </c>
      <c r="M8" t="b">
        <v>1</v>
      </c>
      <c r="N8" t="s">
        <v>131</v>
      </c>
      <c r="O8" t="s">
        <v>132</v>
      </c>
      <c r="P8" t="s">
        <v>133</v>
      </c>
      <c r="Q8" t="s">
        <v>25</v>
      </c>
      <c r="R8">
        <v>2</v>
      </c>
      <c r="S8">
        <v>1</v>
      </c>
      <c r="T8">
        <v>1</v>
      </c>
    </row>
    <row r="9" spans="1:20" x14ac:dyDescent="0.2">
      <c r="A9" t="s">
        <v>129</v>
      </c>
      <c r="B9" t="s">
        <v>130</v>
      </c>
      <c r="C9" t="b">
        <v>1</v>
      </c>
      <c r="D9" t="b">
        <v>1</v>
      </c>
      <c r="E9" t="b">
        <v>0</v>
      </c>
      <c r="F9" t="s">
        <v>28</v>
      </c>
      <c r="G9" t="s">
        <v>50</v>
      </c>
      <c r="H9" t="b">
        <v>0</v>
      </c>
      <c r="I9">
        <f t="shared" si="0"/>
        <v>0</v>
      </c>
      <c r="J9" t="b">
        <v>1</v>
      </c>
      <c r="K9">
        <v>1</v>
      </c>
      <c r="L9" t="b">
        <v>0</v>
      </c>
      <c r="M9" t="b">
        <v>1</v>
      </c>
      <c r="N9" t="s">
        <v>235</v>
      </c>
      <c r="O9" t="s">
        <v>236</v>
      </c>
      <c r="P9" t="s">
        <v>237</v>
      </c>
      <c r="Q9" t="s">
        <v>177</v>
      </c>
      <c r="R9">
        <v>2</v>
      </c>
      <c r="S9">
        <v>1</v>
      </c>
      <c r="T9">
        <v>1</v>
      </c>
    </row>
    <row r="10" spans="1:20" x14ac:dyDescent="0.2">
      <c r="A10" t="s">
        <v>59</v>
      </c>
      <c r="B10" t="s">
        <v>60</v>
      </c>
      <c r="C10" t="b">
        <v>1</v>
      </c>
      <c r="D10" t="b">
        <v>1</v>
      </c>
      <c r="E10" t="b">
        <v>1</v>
      </c>
      <c r="F10" t="s">
        <v>28</v>
      </c>
      <c r="G10" t="s">
        <v>44</v>
      </c>
      <c r="H10" t="b">
        <v>0</v>
      </c>
      <c r="I10">
        <f t="shared" si="0"/>
        <v>0</v>
      </c>
      <c r="J10" t="b">
        <v>1</v>
      </c>
      <c r="K10">
        <v>-1</v>
      </c>
      <c r="L10" t="b">
        <v>1</v>
      </c>
      <c r="M10" t="b">
        <v>0</v>
      </c>
      <c r="N10" t="s">
        <v>61</v>
      </c>
      <c r="O10" t="s">
        <v>62</v>
      </c>
      <c r="P10" t="s">
        <v>63</v>
      </c>
      <c r="Q10" t="s">
        <v>25</v>
      </c>
      <c r="R10">
        <v>2</v>
      </c>
      <c r="S10">
        <v>3</v>
      </c>
      <c r="T10">
        <v>-1</v>
      </c>
    </row>
    <row r="11" spans="1:20" x14ac:dyDescent="0.2">
      <c r="A11" t="s">
        <v>59</v>
      </c>
      <c r="B11" t="s">
        <v>60</v>
      </c>
      <c r="C11" t="b">
        <v>1</v>
      </c>
      <c r="D11" t="b">
        <v>1</v>
      </c>
      <c r="E11" t="b">
        <v>0</v>
      </c>
      <c r="F11" t="s">
        <v>28</v>
      </c>
      <c r="G11" t="s">
        <v>44</v>
      </c>
      <c r="H11" t="b">
        <v>0</v>
      </c>
      <c r="I11">
        <f t="shared" si="0"/>
        <v>0</v>
      </c>
      <c r="J11" t="b">
        <v>1</v>
      </c>
      <c r="K11">
        <v>-1</v>
      </c>
      <c r="L11" t="b">
        <v>1</v>
      </c>
      <c r="M11" t="b">
        <v>0</v>
      </c>
      <c r="N11" t="s">
        <v>195</v>
      </c>
      <c r="O11" t="s">
        <v>196</v>
      </c>
      <c r="P11" t="s">
        <v>197</v>
      </c>
      <c r="Q11" t="s">
        <v>177</v>
      </c>
      <c r="R11">
        <v>2</v>
      </c>
      <c r="S11">
        <v>3</v>
      </c>
      <c r="T11">
        <v>-1</v>
      </c>
    </row>
    <row r="12" spans="1:20" x14ac:dyDescent="0.2">
      <c r="A12" t="s">
        <v>134</v>
      </c>
      <c r="B12" t="s">
        <v>135</v>
      </c>
      <c r="C12" t="b">
        <v>1</v>
      </c>
      <c r="D12" t="b">
        <v>1</v>
      </c>
      <c r="E12" t="b">
        <v>1</v>
      </c>
      <c r="F12" t="s">
        <v>28</v>
      </c>
      <c r="G12" t="s">
        <v>50</v>
      </c>
      <c r="H12" t="b">
        <v>0</v>
      </c>
      <c r="I12">
        <f t="shared" si="0"/>
        <v>0</v>
      </c>
      <c r="J12" t="b">
        <v>1</v>
      </c>
      <c r="K12">
        <v>1</v>
      </c>
      <c r="L12" t="b">
        <v>0</v>
      </c>
      <c r="M12" t="b">
        <v>1</v>
      </c>
      <c r="N12" t="s">
        <v>136</v>
      </c>
      <c r="O12" t="s">
        <v>137</v>
      </c>
      <c r="P12" t="s">
        <v>138</v>
      </c>
      <c r="Q12" t="s">
        <v>25</v>
      </c>
      <c r="R12">
        <v>2</v>
      </c>
      <c r="S12">
        <v>1</v>
      </c>
      <c r="T12">
        <v>1</v>
      </c>
    </row>
    <row r="13" spans="1:20" x14ac:dyDescent="0.2">
      <c r="A13" t="s">
        <v>134</v>
      </c>
      <c r="B13" t="s">
        <v>135</v>
      </c>
      <c r="C13" t="b">
        <v>1</v>
      </c>
      <c r="D13" t="b">
        <v>1</v>
      </c>
      <c r="E13" t="b">
        <v>0</v>
      </c>
      <c r="F13" t="s">
        <v>28</v>
      </c>
      <c r="G13" t="s">
        <v>50</v>
      </c>
      <c r="H13" t="b">
        <v>0</v>
      </c>
      <c r="I13">
        <f t="shared" si="0"/>
        <v>0</v>
      </c>
      <c r="J13" t="b">
        <v>1</v>
      </c>
      <c r="K13">
        <v>1</v>
      </c>
      <c r="L13" t="b">
        <v>0</v>
      </c>
      <c r="M13" t="b">
        <v>1</v>
      </c>
      <c r="N13" t="s">
        <v>238</v>
      </c>
      <c r="O13" t="s">
        <v>239</v>
      </c>
      <c r="P13" t="s">
        <v>240</v>
      </c>
      <c r="Q13" t="s">
        <v>177</v>
      </c>
      <c r="R13">
        <v>2</v>
      </c>
      <c r="S13">
        <v>1</v>
      </c>
      <c r="T13">
        <v>1</v>
      </c>
    </row>
    <row r="14" spans="1:20" x14ac:dyDescent="0.2">
      <c r="A14" t="s">
        <v>149</v>
      </c>
      <c r="B14" t="s">
        <v>150</v>
      </c>
      <c r="C14" t="b">
        <v>1</v>
      </c>
      <c r="D14" t="b">
        <v>1</v>
      </c>
      <c r="E14" t="b">
        <v>1</v>
      </c>
      <c r="F14" t="s">
        <v>28</v>
      </c>
      <c r="G14" t="s">
        <v>50</v>
      </c>
      <c r="H14" t="b">
        <v>0</v>
      </c>
      <c r="I14">
        <f t="shared" si="0"/>
        <v>0</v>
      </c>
      <c r="J14" t="b">
        <v>1</v>
      </c>
      <c r="K14">
        <v>1</v>
      </c>
      <c r="L14" t="b">
        <v>0</v>
      </c>
      <c r="M14" t="b">
        <v>1</v>
      </c>
      <c r="N14" t="s">
        <v>151</v>
      </c>
      <c r="O14" t="s">
        <v>152</v>
      </c>
      <c r="P14" t="s">
        <v>153</v>
      </c>
      <c r="Q14" t="s">
        <v>25</v>
      </c>
      <c r="R14">
        <v>2</v>
      </c>
      <c r="S14">
        <v>1</v>
      </c>
      <c r="T14">
        <v>1</v>
      </c>
    </row>
    <row r="15" spans="1:20" x14ac:dyDescent="0.2">
      <c r="A15" t="s">
        <v>149</v>
      </c>
      <c r="B15" t="s">
        <v>150</v>
      </c>
      <c r="C15" t="b">
        <v>1</v>
      </c>
      <c r="D15" t="b">
        <v>1</v>
      </c>
      <c r="E15" t="b">
        <v>0</v>
      </c>
      <c r="F15" t="s">
        <v>28</v>
      </c>
      <c r="G15" t="s">
        <v>50</v>
      </c>
      <c r="H15" t="b">
        <v>0</v>
      </c>
      <c r="I15">
        <f t="shared" si="0"/>
        <v>0</v>
      </c>
      <c r="J15" t="b">
        <v>1</v>
      </c>
      <c r="K15">
        <v>1</v>
      </c>
      <c r="L15" t="b">
        <v>0</v>
      </c>
      <c r="M15" t="b">
        <v>1</v>
      </c>
      <c r="N15" t="s">
        <v>246</v>
      </c>
      <c r="O15" t="s">
        <v>247</v>
      </c>
      <c r="P15" t="s">
        <v>153</v>
      </c>
      <c r="Q15" t="s">
        <v>177</v>
      </c>
      <c r="R15">
        <v>2</v>
      </c>
      <c r="S15">
        <v>1</v>
      </c>
      <c r="T15">
        <v>1</v>
      </c>
    </row>
    <row r="16" spans="1:20" x14ac:dyDescent="0.2">
      <c r="A16" t="s">
        <v>54</v>
      </c>
      <c r="B16" t="s">
        <v>55</v>
      </c>
      <c r="C16" t="b">
        <v>1</v>
      </c>
      <c r="D16" t="b">
        <v>1</v>
      </c>
      <c r="E16" t="b">
        <v>1</v>
      </c>
      <c r="F16" t="s">
        <v>28</v>
      </c>
      <c r="G16" t="s">
        <v>21</v>
      </c>
      <c r="H16" t="b">
        <v>0</v>
      </c>
      <c r="I16">
        <f t="shared" si="0"/>
        <v>0</v>
      </c>
      <c r="J16" t="b">
        <v>1</v>
      </c>
      <c r="K16">
        <v>2</v>
      </c>
      <c r="L16" t="b">
        <v>0</v>
      </c>
      <c r="M16" t="b">
        <v>1</v>
      </c>
      <c r="N16" t="s">
        <v>56</v>
      </c>
      <c r="O16" t="s">
        <v>57</v>
      </c>
      <c r="P16" t="s">
        <v>58</v>
      </c>
      <c r="Q16" t="s">
        <v>25</v>
      </c>
      <c r="R16">
        <v>2</v>
      </c>
      <c r="S16">
        <v>0</v>
      </c>
      <c r="T16">
        <v>2</v>
      </c>
    </row>
    <row r="17" spans="1:20" x14ac:dyDescent="0.2">
      <c r="A17" t="s">
        <v>54</v>
      </c>
      <c r="B17" t="s">
        <v>55</v>
      </c>
      <c r="C17" t="b">
        <v>1</v>
      </c>
      <c r="D17" t="b">
        <v>1</v>
      </c>
      <c r="E17" t="b">
        <v>0</v>
      </c>
      <c r="F17" t="s">
        <v>28</v>
      </c>
      <c r="G17" t="s">
        <v>21</v>
      </c>
      <c r="H17" t="b">
        <v>0</v>
      </c>
      <c r="I17">
        <f t="shared" si="0"/>
        <v>0</v>
      </c>
      <c r="J17" t="b">
        <v>1</v>
      </c>
      <c r="K17">
        <v>2</v>
      </c>
      <c r="L17" t="b">
        <v>0</v>
      </c>
      <c r="M17" t="b">
        <v>1</v>
      </c>
      <c r="N17" t="s">
        <v>193</v>
      </c>
      <c r="O17" t="s">
        <v>194</v>
      </c>
      <c r="P17" t="s">
        <v>58</v>
      </c>
      <c r="Q17" t="s">
        <v>177</v>
      </c>
      <c r="R17">
        <v>2</v>
      </c>
      <c r="S17">
        <v>0</v>
      </c>
      <c r="T17">
        <v>2</v>
      </c>
    </row>
    <row r="18" spans="1:20" x14ac:dyDescent="0.2">
      <c r="A18" t="s">
        <v>69</v>
      </c>
      <c r="B18" t="s">
        <v>70</v>
      </c>
      <c r="C18" t="b">
        <v>1</v>
      </c>
      <c r="D18" t="b">
        <v>1</v>
      </c>
      <c r="E18" t="b">
        <v>1</v>
      </c>
      <c r="F18" t="s">
        <v>28</v>
      </c>
      <c r="G18" t="s">
        <v>21</v>
      </c>
      <c r="H18" t="b">
        <v>0</v>
      </c>
      <c r="I18">
        <f t="shared" si="0"/>
        <v>0</v>
      </c>
      <c r="J18" t="b">
        <v>1</v>
      </c>
      <c r="K18">
        <v>2</v>
      </c>
      <c r="L18" t="b">
        <v>0</v>
      </c>
      <c r="M18" t="b">
        <v>1</v>
      </c>
      <c r="N18" t="s">
        <v>71</v>
      </c>
      <c r="O18" t="s">
        <v>72</v>
      </c>
      <c r="P18" t="s">
        <v>73</v>
      </c>
      <c r="Q18" t="s">
        <v>25</v>
      </c>
      <c r="R18">
        <v>2</v>
      </c>
      <c r="S18">
        <v>0</v>
      </c>
      <c r="T18">
        <v>2</v>
      </c>
    </row>
    <row r="19" spans="1:20" x14ac:dyDescent="0.2">
      <c r="A19" t="s">
        <v>69</v>
      </c>
      <c r="B19" t="s">
        <v>70</v>
      </c>
      <c r="C19" t="b">
        <v>1</v>
      </c>
      <c r="D19" t="b">
        <v>1</v>
      </c>
      <c r="E19" t="b">
        <v>0</v>
      </c>
      <c r="F19" t="s">
        <v>28</v>
      </c>
      <c r="G19" t="s">
        <v>21</v>
      </c>
      <c r="H19" t="b">
        <v>0</v>
      </c>
      <c r="I19">
        <f t="shared" si="0"/>
        <v>0</v>
      </c>
      <c r="J19" t="b">
        <v>1</v>
      </c>
      <c r="K19">
        <v>2</v>
      </c>
      <c r="L19" t="b">
        <v>0</v>
      </c>
      <c r="M19" t="b">
        <v>1</v>
      </c>
      <c r="N19" t="s">
        <v>201</v>
      </c>
      <c r="O19" t="s">
        <v>202</v>
      </c>
      <c r="P19" t="s">
        <v>203</v>
      </c>
      <c r="Q19" t="s">
        <v>177</v>
      </c>
      <c r="R19">
        <v>2</v>
      </c>
      <c r="S19">
        <v>0</v>
      </c>
      <c r="T19">
        <v>2</v>
      </c>
    </row>
    <row r="20" spans="1:20" x14ac:dyDescent="0.2">
      <c r="A20" t="s">
        <v>84</v>
      </c>
      <c r="B20" t="s">
        <v>85</v>
      </c>
      <c r="C20" t="b">
        <v>1</v>
      </c>
      <c r="D20" t="b">
        <v>1</v>
      </c>
      <c r="E20" t="b">
        <v>1</v>
      </c>
      <c r="F20" t="s">
        <v>28</v>
      </c>
      <c r="G20" t="s">
        <v>44</v>
      </c>
      <c r="H20" t="b">
        <v>0</v>
      </c>
      <c r="I20">
        <f t="shared" si="0"/>
        <v>0</v>
      </c>
      <c r="J20" t="b">
        <v>1</v>
      </c>
      <c r="K20">
        <v>-1</v>
      </c>
      <c r="L20" t="b">
        <v>1</v>
      </c>
      <c r="M20" t="b">
        <v>0</v>
      </c>
      <c r="N20" t="s">
        <v>86</v>
      </c>
      <c r="O20" t="s">
        <v>87</v>
      </c>
      <c r="P20" t="s">
        <v>88</v>
      </c>
      <c r="Q20" t="s">
        <v>25</v>
      </c>
      <c r="R20">
        <v>2</v>
      </c>
      <c r="S20">
        <v>3</v>
      </c>
      <c r="T20">
        <v>-1</v>
      </c>
    </row>
    <row r="21" spans="1:20" x14ac:dyDescent="0.2">
      <c r="A21" t="s">
        <v>84</v>
      </c>
      <c r="B21" t="s">
        <v>85</v>
      </c>
      <c r="C21" t="b">
        <v>1</v>
      </c>
      <c r="D21" t="b">
        <v>1</v>
      </c>
      <c r="E21" t="b">
        <v>0</v>
      </c>
      <c r="F21" t="s">
        <v>28</v>
      </c>
      <c r="G21" t="s">
        <v>44</v>
      </c>
      <c r="H21" t="b">
        <v>0</v>
      </c>
      <c r="I21">
        <f t="shared" si="0"/>
        <v>0</v>
      </c>
      <c r="J21" t="b">
        <v>1</v>
      </c>
      <c r="K21">
        <v>-1</v>
      </c>
      <c r="L21" t="b">
        <v>1</v>
      </c>
      <c r="M21" t="b">
        <v>0</v>
      </c>
      <c r="N21" t="s">
        <v>209</v>
      </c>
      <c r="O21" t="s">
        <v>210</v>
      </c>
      <c r="P21" t="s">
        <v>88</v>
      </c>
      <c r="Q21" t="s">
        <v>177</v>
      </c>
      <c r="R21">
        <v>2</v>
      </c>
      <c r="S21">
        <v>3</v>
      </c>
      <c r="T21">
        <v>-1</v>
      </c>
    </row>
    <row r="22" spans="1:20" x14ac:dyDescent="0.2">
      <c r="A22" t="s">
        <v>74</v>
      </c>
      <c r="B22" s="12" t="s">
        <v>75</v>
      </c>
      <c r="C22" t="b">
        <v>1</v>
      </c>
      <c r="D22" t="b">
        <v>1</v>
      </c>
      <c r="E22" t="b">
        <v>1</v>
      </c>
      <c r="F22" s="12" t="s">
        <v>28</v>
      </c>
      <c r="G22" t="s">
        <v>21</v>
      </c>
      <c r="H22" t="b">
        <v>0</v>
      </c>
      <c r="I22">
        <f t="shared" si="0"/>
        <v>0</v>
      </c>
      <c r="J22" t="b">
        <v>1</v>
      </c>
      <c r="K22">
        <v>2</v>
      </c>
      <c r="L22" t="b">
        <v>0</v>
      </c>
      <c r="M22" t="b">
        <v>1</v>
      </c>
      <c r="N22" t="s">
        <v>76</v>
      </c>
      <c r="O22" t="s">
        <v>77</v>
      </c>
      <c r="P22" t="s">
        <v>78</v>
      </c>
      <c r="Q22" t="s">
        <v>25</v>
      </c>
      <c r="R22">
        <v>2</v>
      </c>
      <c r="S22">
        <v>0</v>
      </c>
      <c r="T22">
        <v>2</v>
      </c>
    </row>
    <row r="23" spans="1:20" x14ac:dyDescent="0.2">
      <c r="A23" t="s">
        <v>74</v>
      </c>
      <c r="B23" s="12" t="s">
        <v>75</v>
      </c>
      <c r="C23" t="b">
        <v>1</v>
      </c>
      <c r="D23" t="b">
        <v>1</v>
      </c>
      <c r="E23" t="b">
        <v>0</v>
      </c>
      <c r="F23" s="12" t="s">
        <v>50</v>
      </c>
      <c r="G23" t="s">
        <v>21</v>
      </c>
      <c r="H23" t="b">
        <v>0</v>
      </c>
      <c r="I23">
        <f t="shared" si="0"/>
        <v>0</v>
      </c>
      <c r="J23" t="b">
        <v>1</v>
      </c>
      <c r="K23">
        <v>1</v>
      </c>
      <c r="L23" t="b">
        <v>0</v>
      </c>
      <c r="M23" t="b">
        <v>1</v>
      </c>
      <c r="N23" t="s">
        <v>204</v>
      </c>
      <c r="O23" t="s">
        <v>205</v>
      </c>
      <c r="P23" t="s">
        <v>78</v>
      </c>
      <c r="Q23" t="s">
        <v>177</v>
      </c>
      <c r="R23">
        <v>1</v>
      </c>
      <c r="S23">
        <v>0</v>
      </c>
      <c r="T23">
        <v>1</v>
      </c>
    </row>
    <row r="24" spans="1:20" x14ac:dyDescent="0.2">
      <c r="A24" t="s">
        <v>79</v>
      </c>
      <c r="B24" t="s">
        <v>80</v>
      </c>
      <c r="C24" t="b">
        <v>1</v>
      </c>
      <c r="D24" t="b">
        <v>1</v>
      </c>
      <c r="E24" t="b">
        <v>1</v>
      </c>
      <c r="F24" t="s">
        <v>28</v>
      </c>
      <c r="G24" t="s">
        <v>21</v>
      </c>
      <c r="H24" t="b">
        <v>0</v>
      </c>
      <c r="I24">
        <f t="shared" si="0"/>
        <v>0</v>
      </c>
      <c r="J24" t="b">
        <v>1</v>
      </c>
      <c r="K24">
        <v>2</v>
      </c>
      <c r="L24" t="b">
        <v>0</v>
      </c>
      <c r="M24" t="b">
        <v>1</v>
      </c>
      <c r="N24" t="s">
        <v>81</v>
      </c>
      <c r="O24" t="s">
        <v>82</v>
      </c>
      <c r="P24" t="s">
        <v>83</v>
      </c>
      <c r="Q24" t="s">
        <v>25</v>
      </c>
      <c r="R24">
        <v>2</v>
      </c>
      <c r="S24">
        <v>0</v>
      </c>
      <c r="T24">
        <v>2</v>
      </c>
    </row>
    <row r="25" spans="1:20" x14ac:dyDescent="0.2">
      <c r="A25" t="s">
        <v>79</v>
      </c>
      <c r="B25" t="s">
        <v>80</v>
      </c>
      <c r="C25" t="b">
        <v>1</v>
      </c>
      <c r="D25" t="b">
        <v>1</v>
      </c>
      <c r="E25" t="b">
        <v>0</v>
      </c>
      <c r="F25" t="s">
        <v>28</v>
      </c>
      <c r="G25" t="s">
        <v>21</v>
      </c>
      <c r="H25" t="b">
        <v>0</v>
      </c>
      <c r="I25">
        <f t="shared" si="0"/>
        <v>0</v>
      </c>
      <c r="J25" t="b">
        <v>1</v>
      </c>
      <c r="K25">
        <v>2</v>
      </c>
      <c r="L25" t="b">
        <v>0</v>
      </c>
      <c r="M25" t="b">
        <v>1</v>
      </c>
      <c r="N25" t="s">
        <v>206</v>
      </c>
      <c r="O25" t="s">
        <v>207</v>
      </c>
      <c r="P25" t="s">
        <v>208</v>
      </c>
      <c r="Q25" t="s">
        <v>177</v>
      </c>
      <c r="R25">
        <v>2</v>
      </c>
      <c r="S25">
        <v>0</v>
      </c>
      <c r="T25">
        <v>2</v>
      </c>
    </row>
    <row r="26" spans="1:20" x14ac:dyDescent="0.2">
      <c r="A26" t="s">
        <v>89</v>
      </c>
      <c r="B26" s="12" t="s">
        <v>90</v>
      </c>
      <c r="C26" t="b">
        <v>1</v>
      </c>
      <c r="D26" t="b">
        <v>1</v>
      </c>
      <c r="E26" t="b">
        <v>1</v>
      </c>
      <c r="F26" s="12" t="s">
        <v>28</v>
      </c>
      <c r="G26" t="s">
        <v>21</v>
      </c>
      <c r="H26" t="b">
        <v>0</v>
      </c>
      <c r="I26">
        <f t="shared" si="0"/>
        <v>0</v>
      </c>
      <c r="J26" t="b">
        <v>1</v>
      </c>
      <c r="K26">
        <v>2</v>
      </c>
      <c r="L26" t="b">
        <v>0</v>
      </c>
      <c r="M26" t="b">
        <v>1</v>
      </c>
      <c r="N26" t="s">
        <v>91</v>
      </c>
      <c r="O26" t="s">
        <v>92</v>
      </c>
      <c r="P26" t="s">
        <v>93</v>
      </c>
      <c r="Q26" t="s">
        <v>25</v>
      </c>
      <c r="R26">
        <v>2</v>
      </c>
      <c r="S26">
        <v>0</v>
      </c>
      <c r="T26">
        <v>2</v>
      </c>
    </row>
    <row r="27" spans="1:20" x14ac:dyDescent="0.2">
      <c r="A27" t="s">
        <v>89</v>
      </c>
      <c r="B27" s="12" t="s">
        <v>90</v>
      </c>
      <c r="C27" t="b">
        <v>1</v>
      </c>
      <c r="D27" t="b">
        <v>1</v>
      </c>
      <c r="E27" t="b">
        <v>0</v>
      </c>
      <c r="F27" s="12" t="s">
        <v>50</v>
      </c>
      <c r="G27" t="s">
        <v>21</v>
      </c>
      <c r="H27" t="b">
        <v>0</v>
      </c>
      <c r="I27">
        <f t="shared" si="0"/>
        <v>0</v>
      </c>
      <c r="J27" t="b">
        <v>1</v>
      </c>
      <c r="K27">
        <v>1</v>
      </c>
      <c r="L27" t="b">
        <v>0</v>
      </c>
      <c r="M27" t="b">
        <v>1</v>
      </c>
      <c r="N27" t="s">
        <v>211</v>
      </c>
      <c r="O27" t="s">
        <v>212</v>
      </c>
      <c r="P27" t="s">
        <v>213</v>
      </c>
      <c r="Q27" t="s">
        <v>177</v>
      </c>
      <c r="R27">
        <v>1</v>
      </c>
      <c r="S27">
        <v>0</v>
      </c>
      <c r="T27">
        <v>1</v>
      </c>
    </row>
    <row r="28" spans="1:20" x14ac:dyDescent="0.2">
      <c r="A28" t="s">
        <v>99</v>
      </c>
      <c r="B28" t="s">
        <v>100</v>
      </c>
      <c r="C28" t="b">
        <v>1</v>
      </c>
      <c r="D28" t="b">
        <v>1</v>
      </c>
      <c r="E28" t="b">
        <v>1</v>
      </c>
      <c r="F28" t="s">
        <v>28</v>
      </c>
      <c r="G28" t="s">
        <v>21</v>
      </c>
      <c r="H28" t="b">
        <v>0</v>
      </c>
      <c r="I28">
        <f t="shared" si="0"/>
        <v>0</v>
      </c>
      <c r="J28" t="b">
        <v>1</v>
      </c>
      <c r="K28">
        <v>2</v>
      </c>
      <c r="L28" t="b">
        <v>0</v>
      </c>
      <c r="M28" t="b">
        <v>1</v>
      </c>
      <c r="N28" t="s">
        <v>101</v>
      </c>
      <c r="O28" t="s">
        <v>102</v>
      </c>
      <c r="P28" t="s">
        <v>103</v>
      </c>
      <c r="Q28" t="s">
        <v>25</v>
      </c>
      <c r="R28">
        <v>2</v>
      </c>
      <c r="S28">
        <v>0</v>
      </c>
      <c r="T28">
        <v>2</v>
      </c>
    </row>
    <row r="29" spans="1:20" x14ac:dyDescent="0.2">
      <c r="A29" t="s">
        <v>99</v>
      </c>
      <c r="B29" t="s">
        <v>100</v>
      </c>
      <c r="C29" t="b">
        <v>1</v>
      </c>
      <c r="D29" t="b">
        <v>1</v>
      </c>
      <c r="E29" t="b">
        <v>0</v>
      </c>
      <c r="F29" t="s">
        <v>28</v>
      </c>
      <c r="G29" t="s">
        <v>21</v>
      </c>
      <c r="H29" t="b">
        <v>0</v>
      </c>
      <c r="I29">
        <f t="shared" si="0"/>
        <v>0</v>
      </c>
      <c r="J29" t="b">
        <v>1</v>
      </c>
      <c r="K29">
        <v>2</v>
      </c>
      <c r="L29" t="b">
        <v>0</v>
      </c>
      <c r="M29" t="b">
        <v>1</v>
      </c>
      <c r="N29" t="s">
        <v>217</v>
      </c>
      <c r="O29" t="s">
        <v>218</v>
      </c>
      <c r="P29" t="s">
        <v>219</v>
      </c>
      <c r="Q29" t="s">
        <v>177</v>
      </c>
      <c r="R29">
        <v>2</v>
      </c>
      <c r="S29">
        <v>0</v>
      </c>
      <c r="T29">
        <v>2</v>
      </c>
    </row>
    <row r="30" spans="1:20" x14ac:dyDescent="0.2">
      <c r="A30" t="s">
        <v>109</v>
      </c>
      <c r="B30" t="s">
        <v>110</v>
      </c>
      <c r="C30" t="b">
        <v>1</v>
      </c>
      <c r="D30" t="b">
        <v>1</v>
      </c>
      <c r="E30" t="b">
        <v>1</v>
      </c>
      <c r="F30" t="s">
        <v>21</v>
      </c>
      <c r="G30" t="s">
        <v>21</v>
      </c>
      <c r="H30" t="b">
        <v>1</v>
      </c>
      <c r="I30">
        <f t="shared" si="0"/>
        <v>1</v>
      </c>
      <c r="J30" t="b">
        <v>1</v>
      </c>
      <c r="K30">
        <v>0</v>
      </c>
      <c r="L30" t="b">
        <v>0</v>
      </c>
      <c r="M30" t="b">
        <v>0</v>
      </c>
      <c r="N30" t="s">
        <v>111</v>
      </c>
      <c r="O30" t="s">
        <v>112</v>
      </c>
      <c r="P30" t="s">
        <v>113</v>
      </c>
      <c r="Q30" t="s">
        <v>25</v>
      </c>
      <c r="R30">
        <v>0</v>
      </c>
      <c r="S30">
        <v>0</v>
      </c>
      <c r="T30">
        <v>0</v>
      </c>
    </row>
    <row r="31" spans="1:20" x14ac:dyDescent="0.2">
      <c r="A31" t="s">
        <v>109</v>
      </c>
      <c r="B31" t="s">
        <v>110</v>
      </c>
      <c r="C31" t="b">
        <v>1</v>
      </c>
      <c r="D31" t="b">
        <v>1</v>
      </c>
      <c r="E31" t="b">
        <v>0</v>
      </c>
      <c r="F31" t="s">
        <v>21</v>
      </c>
      <c r="G31" t="s">
        <v>21</v>
      </c>
      <c r="H31" t="b">
        <v>1</v>
      </c>
      <c r="I31">
        <f t="shared" si="0"/>
        <v>1</v>
      </c>
      <c r="J31" t="b">
        <v>1</v>
      </c>
      <c r="K31">
        <v>0</v>
      </c>
      <c r="L31" t="b">
        <v>0</v>
      </c>
      <c r="M31" t="b">
        <v>0</v>
      </c>
      <c r="N31" t="s">
        <v>223</v>
      </c>
      <c r="O31" t="s">
        <v>224</v>
      </c>
      <c r="P31" t="s">
        <v>225</v>
      </c>
      <c r="Q31" t="s">
        <v>177</v>
      </c>
      <c r="R31">
        <v>0</v>
      </c>
      <c r="S31">
        <v>0</v>
      </c>
      <c r="T31">
        <v>0</v>
      </c>
    </row>
    <row r="32" spans="1:20" x14ac:dyDescent="0.2">
      <c r="A32" t="s">
        <v>114</v>
      </c>
      <c r="B32" t="s">
        <v>115</v>
      </c>
      <c r="C32" t="b">
        <v>1</v>
      </c>
      <c r="D32" t="b">
        <v>1</v>
      </c>
      <c r="E32" t="b">
        <v>1</v>
      </c>
      <c r="F32" t="s">
        <v>21</v>
      </c>
      <c r="G32" t="s">
        <v>21</v>
      </c>
      <c r="H32" t="b">
        <v>1</v>
      </c>
      <c r="I32">
        <f t="shared" si="0"/>
        <v>1</v>
      </c>
      <c r="J32" t="b">
        <v>1</v>
      </c>
      <c r="K32">
        <v>0</v>
      </c>
      <c r="L32" t="b">
        <v>0</v>
      </c>
      <c r="M32" t="b">
        <v>0</v>
      </c>
      <c r="N32" t="s">
        <v>116</v>
      </c>
      <c r="O32" t="s">
        <v>117</v>
      </c>
      <c r="P32" t="s">
        <v>118</v>
      </c>
      <c r="Q32" t="s">
        <v>25</v>
      </c>
      <c r="R32">
        <v>0</v>
      </c>
      <c r="S32">
        <v>0</v>
      </c>
      <c r="T32">
        <v>0</v>
      </c>
    </row>
    <row r="33" spans="1:20" x14ac:dyDescent="0.2">
      <c r="A33" t="s">
        <v>114</v>
      </c>
      <c r="B33" t="s">
        <v>115</v>
      </c>
      <c r="C33" t="b">
        <v>1</v>
      </c>
      <c r="D33" t="b">
        <v>1</v>
      </c>
      <c r="E33" t="b">
        <v>0</v>
      </c>
      <c r="F33" t="s">
        <v>21</v>
      </c>
      <c r="G33" t="s">
        <v>21</v>
      </c>
      <c r="H33" t="b">
        <v>1</v>
      </c>
      <c r="I33">
        <f t="shared" si="0"/>
        <v>1</v>
      </c>
      <c r="J33" t="b">
        <v>1</v>
      </c>
      <c r="K33">
        <v>0</v>
      </c>
      <c r="L33" t="b">
        <v>0</v>
      </c>
      <c r="M33" t="b">
        <v>0</v>
      </c>
      <c r="N33" t="s">
        <v>226</v>
      </c>
      <c r="O33" t="s">
        <v>227</v>
      </c>
      <c r="P33" t="s">
        <v>228</v>
      </c>
      <c r="Q33" t="s">
        <v>177</v>
      </c>
      <c r="R33">
        <v>0</v>
      </c>
      <c r="S33">
        <v>0</v>
      </c>
      <c r="T33">
        <v>0</v>
      </c>
    </row>
    <row r="34" spans="1:20" x14ac:dyDescent="0.2">
      <c r="A34" t="s">
        <v>104</v>
      </c>
      <c r="B34" t="s">
        <v>105</v>
      </c>
      <c r="C34" t="b">
        <v>1</v>
      </c>
      <c r="D34" t="b">
        <v>1</v>
      </c>
      <c r="E34" t="b">
        <v>1</v>
      </c>
      <c r="F34" t="s">
        <v>28</v>
      </c>
      <c r="G34" t="s">
        <v>21</v>
      </c>
      <c r="H34" t="b">
        <v>0</v>
      </c>
      <c r="I34">
        <f t="shared" si="0"/>
        <v>0</v>
      </c>
      <c r="J34" t="b">
        <v>1</v>
      </c>
      <c r="K34">
        <v>2</v>
      </c>
      <c r="L34" t="b">
        <v>0</v>
      </c>
      <c r="M34" t="b">
        <v>1</v>
      </c>
      <c r="N34" t="s">
        <v>106</v>
      </c>
      <c r="O34" t="s">
        <v>107</v>
      </c>
      <c r="P34" t="s">
        <v>108</v>
      </c>
      <c r="Q34" t="s">
        <v>25</v>
      </c>
      <c r="R34">
        <v>2</v>
      </c>
      <c r="S34">
        <v>0</v>
      </c>
      <c r="T34">
        <v>2</v>
      </c>
    </row>
    <row r="35" spans="1:20" x14ac:dyDescent="0.2">
      <c r="A35" t="s">
        <v>104</v>
      </c>
      <c r="B35" t="s">
        <v>105</v>
      </c>
      <c r="C35" t="b">
        <v>1</v>
      </c>
      <c r="D35" t="b">
        <v>1</v>
      </c>
      <c r="E35" t="b">
        <v>0</v>
      </c>
      <c r="F35" t="s">
        <v>28</v>
      </c>
      <c r="G35" t="s">
        <v>21</v>
      </c>
      <c r="H35" t="b">
        <v>0</v>
      </c>
      <c r="I35">
        <f t="shared" si="0"/>
        <v>0</v>
      </c>
      <c r="J35" t="b">
        <v>1</v>
      </c>
      <c r="K35">
        <v>2</v>
      </c>
      <c r="L35" t="b">
        <v>0</v>
      </c>
      <c r="M35" t="b">
        <v>1</v>
      </c>
      <c r="N35" t="s">
        <v>220</v>
      </c>
      <c r="O35" t="s">
        <v>221</v>
      </c>
      <c r="P35" t="s">
        <v>222</v>
      </c>
      <c r="Q35" t="s">
        <v>177</v>
      </c>
      <c r="R35">
        <v>2</v>
      </c>
      <c r="S35">
        <v>0</v>
      </c>
      <c r="T35">
        <v>2</v>
      </c>
    </row>
    <row r="36" spans="1:20" x14ac:dyDescent="0.2">
      <c r="A36" t="s">
        <v>119</v>
      </c>
      <c r="B36" t="s">
        <v>120</v>
      </c>
      <c r="C36" t="b">
        <v>1</v>
      </c>
      <c r="D36" t="b">
        <v>1</v>
      </c>
      <c r="E36" t="b">
        <v>1</v>
      </c>
      <c r="F36" t="s">
        <v>28</v>
      </c>
      <c r="G36" t="s">
        <v>21</v>
      </c>
      <c r="H36" t="b">
        <v>0</v>
      </c>
      <c r="I36">
        <f t="shared" si="0"/>
        <v>0</v>
      </c>
      <c r="J36" t="b">
        <v>1</v>
      </c>
      <c r="K36">
        <v>2</v>
      </c>
      <c r="L36" t="b">
        <v>0</v>
      </c>
      <c r="M36" t="b">
        <v>1</v>
      </c>
      <c r="N36" t="s">
        <v>121</v>
      </c>
      <c r="O36" t="s">
        <v>122</v>
      </c>
      <c r="P36" t="s">
        <v>123</v>
      </c>
      <c r="Q36" t="s">
        <v>25</v>
      </c>
      <c r="R36">
        <v>2</v>
      </c>
      <c r="S36">
        <v>0</v>
      </c>
      <c r="T36">
        <v>2</v>
      </c>
    </row>
    <row r="37" spans="1:20" x14ac:dyDescent="0.2">
      <c r="A37" t="s">
        <v>119</v>
      </c>
      <c r="B37" t="s">
        <v>120</v>
      </c>
      <c r="C37" t="b">
        <v>1</v>
      </c>
      <c r="D37" t="b">
        <v>1</v>
      </c>
      <c r="E37" t="b">
        <v>0</v>
      </c>
      <c r="F37" t="s">
        <v>28</v>
      </c>
      <c r="G37" t="s">
        <v>21</v>
      </c>
      <c r="H37" t="b">
        <v>0</v>
      </c>
      <c r="I37">
        <f t="shared" si="0"/>
        <v>0</v>
      </c>
      <c r="J37" t="b">
        <v>1</v>
      </c>
      <c r="K37">
        <v>2</v>
      </c>
      <c r="L37" t="b">
        <v>0</v>
      </c>
      <c r="M37" t="b">
        <v>1</v>
      </c>
      <c r="N37" t="s">
        <v>229</v>
      </c>
      <c r="O37" t="s">
        <v>230</v>
      </c>
      <c r="P37" t="s">
        <v>231</v>
      </c>
      <c r="Q37" t="s">
        <v>177</v>
      </c>
      <c r="R37">
        <v>2</v>
      </c>
      <c r="S37">
        <v>0</v>
      </c>
      <c r="T37">
        <v>2</v>
      </c>
    </row>
    <row r="38" spans="1:20" x14ac:dyDescent="0.2">
      <c r="A38" t="s">
        <v>124</v>
      </c>
      <c r="B38" t="s">
        <v>125</v>
      </c>
      <c r="C38" t="b">
        <v>1</v>
      </c>
      <c r="D38" t="b">
        <v>1</v>
      </c>
      <c r="E38" t="b">
        <v>1</v>
      </c>
      <c r="F38" t="s">
        <v>28</v>
      </c>
      <c r="G38" t="s">
        <v>21</v>
      </c>
      <c r="H38" t="b">
        <v>0</v>
      </c>
      <c r="I38">
        <f t="shared" si="0"/>
        <v>0</v>
      </c>
      <c r="J38" t="b">
        <v>1</v>
      </c>
      <c r="K38">
        <v>2</v>
      </c>
      <c r="L38" t="b">
        <v>0</v>
      </c>
      <c r="M38" t="b">
        <v>1</v>
      </c>
      <c r="N38" t="s">
        <v>126</v>
      </c>
      <c r="O38" t="s">
        <v>127</v>
      </c>
      <c r="P38" t="s">
        <v>128</v>
      </c>
      <c r="Q38" t="s">
        <v>25</v>
      </c>
      <c r="R38">
        <v>2</v>
      </c>
      <c r="S38">
        <v>0</v>
      </c>
      <c r="T38">
        <v>2</v>
      </c>
    </row>
    <row r="39" spans="1:20" x14ac:dyDescent="0.2">
      <c r="A39" t="s">
        <v>124</v>
      </c>
      <c r="B39" t="s">
        <v>125</v>
      </c>
      <c r="C39" t="b">
        <v>1</v>
      </c>
      <c r="D39" t="b">
        <v>1</v>
      </c>
      <c r="E39" t="b">
        <v>0</v>
      </c>
      <c r="F39" t="s">
        <v>28</v>
      </c>
      <c r="G39" t="s">
        <v>21</v>
      </c>
      <c r="H39" t="b">
        <v>0</v>
      </c>
      <c r="I39">
        <f t="shared" si="0"/>
        <v>0</v>
      </c>
      <c r="J39" t="b">
        <v>1</v>
      </c>
      <c r="K39">
        <v>2</v>
      </c>
      <c r="L39" t="b">
        <v>0</v>
      </c>
      <c r="M39" t="b">
        <v>1</v>
      </c>
      <c r="N39" t="s">
        <v>232</v>
      </c>
      <c r="O39" t="s">
        <v>233</v>
      </c>
      <c r="P39" t="s">
        <v>234</v>
      </c>
      <c r="Q39" t="s">
        <v>177</v>
      </c>
      <c r="R39">
        <v>2</v>
      </c>
      <c r="S39">
        <v>0</v>
      </c>
      <c r="T39">
        <v>2</v>
      </c>
    </row>
    <row r="40" spans="1:20" x14ac:dyDescent="0.2">
      <c r="A40" t="s">
        <v>37</v>
      </c>
      <c r="B40" t="s">
        <v>38</v>
      </c>
      <c r="C40" t="b">
        <v>1</v>
      </c>
      <c r="D40" t="b">
        <v>1</v>
      </c>
      <c r="E40" t="b">
        <v>1</v>
      </c>
      <c r="F40" t="s">
        <v>21</v>
      </c>
      <c r="G40" t="s">
        <v>28</v>
      </c>
      <c r="H40" t="b">
        <v>0</v>
      </c>
      <c r="I40">
        <f t="shared" si="0"/>
        <v>0</v>
      </c>
      <c r="J40" t="b">
        <v>1</v>
      </c>
      <c r="K40">
        <v>-2</v>
      </c>
      <c r="L40" t="b">
        <v>1</v>
      </c>
      <c r="M40" t="b">
        <v>0</v>
      </c>
      <c r="N40" t="s">
        <v>39</v>
      </c>
      <c r="O40" t="s">
        <v>40</v>
      </c>
      <c r="P40" t="s">
        <v>41</v>
      </c>
      <c r="Q40" t="s">
        <v>25</v>
      </c>
      <c r="R40">
        <v>0</v>
      </c>
      <c r="S40">
        <v>2</v>
      </c>
      <c r="T40">
        <v>-2</v>
      </c>
    </row>
    <row r="41" spans="1:20" x14ac:dyDescent="0.2">
      <c r="A41" t="s">
        <v>37</v>
      </c>
      <c r="B41" t="s">
        <v>38</v>
      </c>
      <c r="C41" t="b">
        <v>1</v>
      </c>
      <c r="D41" t="b">
        <v>1</v>
      </c>
      <c r="E41" t="b">
        <v>0</v>
      </c>
      <c r="F41" t="s">
        <v>21</v>
      </c>
      <c r="G41" t="s">
        <v>28</v>
      </c>
      <c r="H41" t="b">
        <v>0</v>
      </c>
      <c r="I41">
        <f t="shared" si="0"/>
        <v>0</v>
      </c>
      <c r="J41" t="b">
        <v>1</v>
      </c>
      <c r="K41">
        <v>-2</v>
      </c>
      <c r="L41" t="b">
        <v>1</v>
      </c>
      <c r="M41" t="b">
        <v>0</v>
      </c>
      <c r="N41" t="s">
        <v>184</v>
      </c>
      <c r="O41" t="s">
        <v>185</v>
      </c>
      <c r="P41" t="s">
        <v>186</v>
      </c>
      <c r="Q41" t="s">
        <v>177</v>
      </c>
      <c r="R41">
        <v>0</v>
      </c>
      <c r="S41">
        <v>2</v>
      </c>
      <c r="T41">
        <v>-2</v>
      </c>
    </row>
    <row r="42" spans="1:20" x14ac:dyDescent="0.2">
      <c r="A42" t="s">
        <v>139</v>
      </c>
      <c r="B42" t="s">
        <v>140</v>
      </c>
      <c r="C42" t="b">
        <v>1</v>
      </c>
      <c r="D42" t="b">
        <v>1</v>
      </c>
      <c r="E42" t="b">
        <v>1</v>
      </c>
      <c r="F42" t="s">
        <v>28</v>
      </c>
      <c r="G42" t="s">
        <v>21</v>
      </c>
      <c r="H42" t="b">
        <v>0</v>
      </c>
      <c r="I42">
        <f t="shared" si="0"/>
        <v>0</v>
      </c>
      <c r="J42" t="b">
        <v>1</v>
      </c>
      <c r="K42">
        <v>2</v>
      </c>
      <c r="L42" t="b">
        <v>0</v>
      </c>
      <c r="M42" t="b">
        <v>1</v>
      </c>
      <c r="N42" t="s">
        <v>141</v>
      </c>
      <c r="O42" t="s">
        <v>142</v>
      </c>
      <c r="P42" t="s">
        <v>143</v>
      </c>
      <c r="Q42" t="s">
        <v>25</v>
      </c>
      <c r="R42">
        <v>2</v>
      </c>
      <c r="S42">
        <v>0</v>
      </c>
      <c r="T42">
        <v>2</v>
      </c>
    </row>
    <row r="43" spans="1:20" x14ac:dyDescent="0.2">
      <c r="A43" t="s">
        <v>139</v>
      </c>
      <c r="B43" t="s">
        <v>140</v>
      </c>
      <c r="C43" t="b">
        <v>1</v>
      </c>
      <c r="D43" t="b">
        <v>1</v>
      </c>
      <c r="E43" t="b">
        <v>0</v>
      </c>
      <c r="F43" t="s">
        <v>28</v>
      </c>
      <c r="G43" t="s">
        <v>21</v>
      </c>
      <c r="H43" t="b">
        <v>0</v>
      </c>
      <c r="I43">
        <f t="shared" si="0"/>
        <v>0</v>
      </c>
      <c r="J43" t="b">
        <v>1</v>
      </c>
      <c r="K43">
        <v>2</v>
      </c>
      <c r="L43" t="b">
        <v>0</v>
      </c>
      <c r="M43" t="b">
        <v>1</v>
      </c>
      <c r="N43" t="s">
        <v>241</v>
      </c>
      <c r="O43" t="s">
        <v>242</v>
      </c>
      <c r="P43" t="s">
        <v>243</v>
      </c>
      <c r="Q43" t="s">
        <v>177</v>
      </c>
      <c r="R43">
        <v>2</v>
      </c>
      <c r="S43">
        <v>0</v>
      </c>
      <c r="T43">
        <v>2</v>
      </c>
    </row>
    <row r="44" spans="1:20" x14ac:dyDescent="0.2">
      <c r="A44" t="s">
        <v>19</v>
      </c>
      <c r="B44" t="s">
        <v>20</v>
      </c>
      <c r="C44" t="b">
        <v>1</v>
      </c>
      <c r="D44" t="b">
        <v>1</v>
      </c>
      <c r="E44" t="b">
        <v>1</v>
      </c>
      <c r="F44" t="s">
        <v>21</v>
      </c>
      <c r="G44" t="s">
        <v>21</v>
      </c>
      <c r="H44" t="b">
        <v>1</v>
      </c>
      <c r="I44">
        <f t="shared" si="0"/>
        <v>1</v>
      </c>
      <c r="J44" t="b">
        <v>1</v>
      </c>
      <c r="K44">
        <v>0</v>
      </c>
      <c r="L44" t="b">
        <v>0</v>
      </c>
      <c r="M44" t="b">
        <v>0</v>
      </c>
      <c r="N44" t="s">
        <v>22</v>
      </c>
      <c r="O44" t="s">
        <v>23</v>
      </c>
      <c r="P44" t="s">
        <v>24</v>
      </c>
      <c r="Q44" t="s">
        <v>25</v>
      </c>
      <c r="R44">
        <v>0</v>
      </c>
      <c r="S44">
        <v>0</v>
      </c>
      <c r="T44">
        <v>0</v>
      </c>
    </row>
    <row r="45" spans="1:20" x14ac:dyDescent="0.2">
      <c r="A45" t="s">
        <v>19</v>
      </c>
      <c r="B45" t="s">
        <v>20</v>
      </c>
      <c r="C45" t="b">
        <v>1</v>
      </c>
      <c r="D45" t="b">
        <v>1</v>
      </c>
      <c r="E45" t="b">
        <v>0</v>
      </c>
      <c r="F45" t="s">
        <v>21</v>
      </c>
      <c r="G45" t="s">
        <v>21</v>
      </c>
      <c r="H45" t="b">
        <v>1</v>
      </c>
      <c r="I45">
        <f t="shared" si="0"/>
        <v>1</v>
      </c>
      <c r="J45" t="b">
        <v>1</v>
      </c>
      <c r="K45">
        <v>0</v>
      </c>
      <c r="L45" t="b">
        <v>0</v>
      </c>
      <c r="M45" t="b">
        <v>0</v>
      </c>
      <c r="N45" t="s">
        <v>174</v>
      </c>
      <c r="O45" t="s">
        <v>175</v>
      </c>
      <c r="P45" t="s">
        <v>176</v>
      </c>
      <c r="Q45" t="s">
        <v>177</v>
      </c>
      <c r="R45">
        <v>0</v>
      </c>
      <c r="S45">
        <v>0</v>
      </c>
      <c r="T45">
        <v>0</v>
      </c>
    </row>
    <row r="46" spans="1:20" x14ac:dyDescent="0.2">
      <c r="A46" t="s">
        <v>32</v>
      </c>
      <c r="B46" t="s">
        <v>33</v>
      </c>
      <c r="C46" t="b">
        <v>1</v>
      </c>
      <c r="D46" t="b">
        <v>1</v>
      </c>
      <c r="E46" t="b">
        <v>1</v>
      </c>
      <c r="F46" t="s">
        <v>21</v>
      </c>
      <c r="G46" t="s">
        <v>21</v>
      </c>
      <c r="H46" t="b">
        <v>1</v>
      </c>
      <c r="I46">
        <f t="shared" si="0"/>
        <v>1</v>
      </c>
      <c r="J46" t="b">
        <v>1</v>
      </c>
      <c r="K46">
        <v>0</v>
      </c>
      <c r="L46" t="b">
        <v>0</v>
      </c>
      <c r="M46" t="b">
        <v>0</v>
      </c>
      <c r="N46" t="s">
        <v>34</v>
      </c>
      <c r="O46" t="s">
        <v>35</v>
      </c>
      <c r="P46" t="s">
        <v>36</v>
      </c>
      <c r="Q46" t="s">
        <v>25</v>
      </c>
      <c r="R46">
        <v>0</v>
      </c>
      <c r="S46">
        <v>0</v>
      </c>
      <c r="T46">
        <v>0</v>
      </c>
    </row>
    <row r="47" spans="1:20" x14ac:dyDescent="0.2">
      <c r="A47" t="s">
        <v>32</v>
      </c>
      <c r="B47" t="s">
        <v>33</v>
      </c>
      <c r="C47" t="b">
        <v>1</v>
      </c>
      <c r="D47" t="b">
        <v>1</v>
      </c>
      <c r="E47" t="b">
        <v>0</v>
      </c>
      <c r="F47" t="s">
        <v>21</v>
      </c>
      <c r="G47" t="s">
        <v>21</v>
      </c>
      <c r="H47" t="b">
        <v>1</v>
      </c>
      <c r="I47">
        <f t="shared" si="0"/>
        <v>1</v>
      </c>
      <c r="J47" t="b">
        <v>1</v>
      </c>
      <c r="K47">
        <v>0</v>
      </c>
      <c r="L47" t="b">
        <v>0</v>
      </c>
      <c r="M47" t="b">
        <v>0</v>
      </c>
      <c r="N47" t="s">
        <v>181</v>
      </c>
      <c r="O47" t="s">
        <v>182</v>
      </c>
      <c r="P47" t="s">
        <v>183</v>
      </c>
      <c r="Q47" t="s">
        <v>177</v>
      </c>
      <c r="R47">
        <v>0</v>
      </c>
      <c r="S47">
        <v>0</v>
      </c>
      <c r="T47">
        <v>0</v>
      </c>
    </row>
    <row r="48" spans="1:20" x14ac:dyDescent="0.2">
      <c r="A48" t="s">
        <v>64</v>
      </c>
      <c r="B48" t="s">
        <v>65</v>
      </c>
      <c r="C48" t="b">
        <v>1</v>
      </c>
      <c r="D48" t="b">
        <v>1</v>
      </c>
      <c r="E48" t="b">
        <v>1</v>
      </c>
      <c r="F48" t="s">
        <v>28</v>
      </c>
      <c r="G48" t="s">
        <v>28</v>
      </c>
      <c r="H48" t="b">
        <v>1</v>
      </c>
      <c r="I48">
        <f t="shared" si="0"/>
        <v>1</v>
      </c>
      <c r="J48" t="b">
        <v>1</v>
      </c>
      <c r="K48">
        <v>0</v>
      </c>
      <c r="L48" t="b">
        <v>0</v>
      </c>
      <c r="M48" t="b">
        <v>0</v>
      </c>
      <c r="N48" t="s">
        <v>66</v>
      </c>
      <c r="O48" t="s">
        <v>67</v>
      </c>
      <c r="P48" t="s">
        <v>68</v>
      </c>
      <c r="Q48" t="s">
        <v>25</v>
      </c>
      <c r="R48">
        <v>2</v>
      </c>
      <c r="S48">
        <v>2</v>
      </c>
      <c r="T48">
        <v>0</v>
      </c>
    </row>
    <row r="49" spans="1:20" x14ac:dyDescent="0.2">
      <c r="A49" t="s">
        <v>64</v>
      </c>
      <c r="B49" t="s">
        <v>65</v>
      </c>
      <c r="C49" t="b">
        <v>1</v>
      </c>
      <c r="D49" t="b">
        <v>1</v>
      </c>
      <c r="E49" t="b">
        <v>0</v>
      </c>
      <c r="F49" t="s">
        <v>28</v>
      </c>
      <c r="G49" t="s">
        <v>28</v>
      </c>
      <c r="H49" t="b">
        <v>1</v>
      </c>
      <c r="I49">
        <f t="shared" si="0"/>
        <v>1</v>
      </c>
      <c r="J49" t="b">
        <v>1</v>
      </c>
      <c r="K49">
        <v>0</v>
      </c>
      <c r="L49" t="b">
        <v>0</v>
      </c>
      <c r="M49" t="b">
        <v>0</v>
      </c>
      <c r="N49" t="s">
        <v>198</v>
      </c>
      <c r="O49" t="s">
        <v>199</v>
      </c>
      <c r="P49" t="s">
        <v>200</v>
      </c>
      <c r="Q49" t="s">
        <v>177</v>
      </c>
      <c r="R49">
        <v>2</v>
      </c>
      <c r="S49">
        <v>2</v>
      </c>
      <c r="T49">
        <v>0</v>
      </c>
    </row>
    <row r="50" spans="1:20" x14ac:dyDescent="0.2">
      <c r="A50" t="s">
        <v>159</v>
      </c>
      <c r="B50" t="s">
        <v>160</v>
      </c>
      <c r="C50" t="b">
        <v>1</v>
      </c>
      <c r="D50" t="b">
        <v>1</v>
      </c>
      <c r="E50" t="b">
        <v>1</v>
      </c>
      <c r="F50" t="s">
        <v>50</v>
      </c>
      <c r="G50" t="s">
        <v>21</v>
      </c>
      <c r="H50" t="b">
        <v>0</v>
      </c>
      <c r="I50">
        <f t="shared" si="0"/>
        <v>0</v>
      </c>
      <c r="J50" t="b">
        <v>1</v>
      </c>
      <c r="K50">
        <v>1</v>
      </c>
      <c r="L50" t="b">
        <v>0</v>
      </c>
      <c r="M50" t="b">
        <v>1</v>
      </c>
      <c r="N50" t="s">
        <v>161</v>
      </c>
      <c r="O50" t="s">
        <v>162</v>
      </c>
      <c r="P50" t="s">
        <v>163</v>
      </c>
      <c r="Q50" t="s">
        <v>25</v>
      </c>
      <c r="R50">
        <v>1</v>
      </c>
      <c r="S50">
        <v>0</v>
      </c>
      <c r="T50">
        <v>1</v>
      </c>
    </row>
    <row r="51" spans="1:20" x14ac:dyDescent="0.2">
      <c r="A51" t="s">
        <v>159</v>
      </c>
      <c r="B51" t="s">
        <v>160</v>
      </c>
      <c r="C51" t="b">
        <v>1</v>
      </c>
      <c r="D51" t="b">
        <v>1</v>
      </c>
      <c r="E51" t="b">
        <v>0</v>
      </c>
      <c r="F51" t="s">
        <v>50</v>
      </c>
      <c r="G51" t="s">
        <v>21</v>
      </c>
      <c r="H51" t="b">
        <v>0</v>
      </c>
      <c r="I51">
        <f t="shared" si="0"/>
        <v>0</v>
      </c>
      <c r="J51" t="b">
        <v>1</v>
      </c>
      <c r="K51">
        <v>1</v>
      </c>
      <c r="L51" t="b">
        <v>0</v>
      </c>
      <c r="M51" t="b">
        <v>1</v>
      </c>
      <c r="N51" t="s">
        <v>251</v>
      </c>
      <c r="O51" t="s">
        <v>252</v>
      </c>
      <c r="P51" t="s">
        <v>253</v>
      </c>
      <c r="Q51" t="s">
        <v>177</v>
      </c>
      <c r="R51">
        <v>1</v>
      </c>
      <c r="S51">
        <v>0</v>
      </c>
      <c r="T51">
        <v>1</v>
      </c>
    </row>
    <row r="52" spans="1:20" x14ac:dyDescent="0.2">
      <c r="A52" t="s">
        <v>164</v>
      </c>
      <c r="B52" t="s">
        <v>165</v>
      </c>
      <c r="C52" t="b">
        <v>1</v>
      </c>
      <c r="D52" t="b">
        <v>1</v>
      </c>
      <c r="E52" t="b">
        <v>1</v>
      </c>
      <c r="F52" t="s">
        <v>28</v>
      </c>
      <c r="G52" t="s">
        <v>44</v>
      </c>
      <c r="H52" t="b">
        <v>0</v>
      </c>
      <c r="I52">
        <f t="shared" si="0"/>
        <v>0</v>
      </c>
      <c r="J52" t="b">
        <v>1</v>
      </c>
      <c r="K52">
        <v>-1</v>
      </c>
      <c r="L52" t="b">
        <v>1</v>
      </c>
      <c r="M52" t="b">
        <v>0</v>
      </c>
      <c r="N52" t="s">
        <v>166</v>
      </c>
      <c r="O52" t="s">
        <v>167</v>
      </c>
      <c r="P52" t="s">
        <v>168</v>
      </c>
      <c r="Q52" t="s">
        <v>25</v>
      </c>
      <c r="R52">
        <v>2</v>
      </c>
      <c r="S52">
        <v>3</v>
      </c>
      <c r="T52">
        <v>-1</v>
      </c>
    </row>
    <row r="53" spans="1:20" x14ac:dyDescent="0.2">
      <c r="A53" t="s">
        <v>164</v>
      </c>
      <c r="B53" t="s">
        <v>165</v>
      </c>
      <c r="C53" t="b">
        <v>1</v>
      </c>
      <c r="D53" t="b">
        <v>1</v>
      </c>
      <c r="E53" t="b">
        <v>0</v>
      </c>
      <c r="F53" t="s">
        <v>28</v>
      </c>
      <c r="G53" t="s">
        <v>44</v>
      </c>
      <c r="H53" t="b">
        <v>0</v>
      </c>
      <c r="I53">
        <f t="shared" si="0"/>
        <v>0</v>
      </c>
      <c r="J53" t="b">
        <v>1</v>
      </c>
      <c r="K53">
        <v>-1</v>
      </c>
      <c r="L53" t="b">
        <v>1</v>
      </c>
      <c r="M53" t="b">
        <v>0</v>
      </c>
      <c r="N53" t="s">
        <v>254</v>
      </c>
      <c r="O53" t="s">
        <v>255</v>
      </c>
      <c r="P53" t="s">
        <v>256</v>
      </c>
      <c r="Q53" t="s">
        <v>177</v>
      </c>
      <c r="R53">
        <v>2</v>
      </c>
      <c r="S53">
        <v>3</v>
      </c>
      <c r="T53">
        <v>-1</v>
      </c>
    </row>
    <row r="54" spans="1:20" x14ac:dyDescent="0.2">
      <c r="A54" t="s">
        <v>169</v>
      </c>
      <c r="B54" t="s">
        <v>170</v>
      </c>
      <c r="C54" t="b">
        <v>1</v>
      </c>
      <c r="D54" t="b">
        <v>1</v>
      </c>
      <c r="E54" t="b">
        <v>1</v>
      </c>
      <c r="F54" t="s">
        <v>28</v>
      </c>
      <c r="G54" t="s">
        <v>44</v>
      </c>
      <c r="H54" t="b">
        <v>0</v>
      </c>
      <c r="I54">
        <f t="shared" si="0"/>
        <v>0</v>
      </c>
      <c r="J54" t="b">
        <v>1</v>
      </c>
      <c r="K54">
        <v>-1</v>
      </c>
      <c r="L54" t="b">
        <v>1</v>
      </c>
      <c r="M54" t="b">
        <v>0</v>
      </c>
      <c r="N54" t="s">
        <v>171</v>
      </c>
      <c r="O54" t="s">
        <v>172</v>
      </c>
      <c r="P54" t="s">
        <v>173</v>
      </c>
      <c r="Q54" t="s">
        <v>25</v>
      </c>
      <c r="R54">
        <v>2</v>
      </c>
      <c r="S54">
        <v>3</v>
      </c>
      <c r="T54">
        <v>-1</v>
      </c>
    </row>
    <row r="55" spans="1:20" x14ac:dyDescent="0.2">
      <c r="A55" t="s">
        <v>169</v>
      </c>
      <c r="B55" t="s">
        <v>170</v>
      </c>
      <c r="C55" t="b">
        <v>1</v>
      </c>
      <c r="D55" t="b">
        <v>1</v>
      </c>
      <c r="E55" t="b">
        <v>0</v>
      </c>
      <c r="F55" t="s">
        <v>28</v>
      </c>
      <c r="G55" t="s">
        <v>44</v>
      </c>
      <c r="H55" t="b">
        <v>0</v>
      </c>
      <c r="I55">
        <f t="shared" si="0"/>
        <v>0</v>
      </c>
      <c r="J55" t="b">
        <v>1</v>
      </c>
      <c r="K55">
        <v>-1</v>
      </c>
      <c r="L55" t="b">
        <v>1</v>
      </c>
      <c r="M55" t="b">
        <v>0</v>
      </c>
      <c r="N55" t="s">
        <v>257</v>
      </c>
      <c r="O55" t="s">
        <v>258</v>
      </c>
      <c r="P55" t="s">
        <v>259</v>
      </c>
      <c r="Q55" t="s">
        <v>177</v>
      </c>
      <c r="R55">
        <v>2</v>
      </c>
      <c r="S55">
        <v>3</v>
      </c>
      <c r="T55">
        <v>-1</v>
      </c>
    </row>
    <row r="56" spans="1:20" x14ac:dyDescent="0.2">
      <c r="A56" t="s">
        <v>144</v>
      </c>
      <c r="B56" t="s">
        <v>145</v>
      </c>
      <c r="C56" t="b">
        <v>1</v>
      </c>
      <c r="D56" t="b">
        <v>1</v>
      </c>
      <c r="E56" t="b">
        <v>1</v>
      </c>
      <c r="F56" t="s">
        <v>28</v>
      </c>
      <c r="G56" t="s">
        <v>28</v>
      </c>
      <c r="H56" t="b">
        <v>1</v>
      </c>
      <c r="I56">
        <f t="shared" si="0"/>
        <v>1</v>
      </c>
      <c r="J56" t="b">
        <v>1</v>
      </c>
      <c r="K56">
        <v>0</v>
      </c>
      <c r="L56" t="b">
        <v>0</v>
      </c>
      <c r="M56" t="b">
        <v>0</v>
      </c>
      <c r="N56" t="s">
        <v>146</v>
      </c>
      <c r="O56" t="s">
        <v>147</v>
      </c>
      <c r="P56" t="s">
        <v>148</v>
      </c>
      <c r="Q56" t="s">
        <v>25</v>
      </c>
      <c r="R56">
        <v>2</v>
      </c>
      <c r="S56">
        <v>2</v>
      </c>
      <c r="T56">
        <v>0</v>
      </c>
    </row>
    <row r="57" spans="1:20" x14ac:dyDescent="0.2">
      <c r="A57" t="s">
        <v>144</v>
      </c>
      <c r="B57" t="s">
        <v>145</v>
      </c>
      <c r="C57" t="b">
        <v>1</v>
      </c>
      <c r="D57" t="b">
        <v>1</v>
      </c>
      <c r="E57" t="b">
        <v>0</v>
      </c>
      <c r="F57" t="s">
        <v>28</v>
      </c>
      <c r="G57" t="s">
        <v>28</v>
      </c>
      <c r="H57" t="b">
        <v>1</v>
      </c>
      <c r="I57">
        <f t="shared" si="0"/>
        <v>1</v>
      </c>
      <c r="J57" t="b">
        <v>1</v>
      </c>
      <c r="K57">
        <v>0</v>
      </c>
      <c r="L57" t="b">
        <v>0</v>
      </c>
      <c r="M57" t="b">
        <v>0</v>
      </c>
      <c r="N57" t="s">
        <v>244</v>
      </c>
      <c r="O57" t="s">
        <v>245</v>
      </c>
      <c r="P57" t="s">
        <v>148</v>
      </c>
      <c r="Q57" t="s">
        <v>177</v>
      </c>
      <c r="R57">
        <v>2</v>
      </c>
      <c r="S57">
        <v>2</v>
      </c>
      <c r="T57">
        <v>0</v>
      </c>
    </row>
    <row r="58" spans="1:20" x14ac:dyDescent="0.2">
      <c r="A58" t="s">
        <v>154</v>
      </c>
      <c r="B58" t="s">
        <v>155</v>
      </c>
      <c r="C58" t="b">
        <v>1</v>
      </c>
      <c r="D58" t="b">
        <v>1</v>
      </c>
      <c r="E58" t="b">
        <v>1</v>
      </c>
      <c r="F58" t="s">
        <v>28</v>
      </c>
      <c r="G58" t="s">
        <v>28</v>
      </c>
      <c r="H58" t="b">
        <v>1</v>
      </c>
      <c r="I58">
        <f t="shared" si="0"/>
        <v>1</v>
      </c>
      <c r="J58" t="b">
        <v>1</v>
      </c>
      <c r="K58">
        <v>0</v>
      </c>
      <c r="L58" t="b">
        <v>0</v>
      </c>
      <c r="M58" t="b">
        <v>0</v>
      </c>
      <c r="N58" t="s">
        <v>156</v>
      </c>
      <c r="O58" t="s">
        <v>157</v>
      </c>
      <c r="P58" t="s">
        <v>158</v>
      </c>
      <c r="Q58" t="s">
        <v>25</v>
      </c>
      <c r="R58">
        <v>2</v>
      </c>
      <c r="S58">
        <v>2</v>
      </c>
      <c r="T58">
        <v>0</v>
      </c>
    </row>
    <row r="59" spans="1:20" x14ac:dyDescent="0.2">
      <c r="A59" t="s">
        <v>154</v>
      </c>
      <c r="B59" s="14" t="s">
        <v>155</v>
      </c>
      <c r="C59" t="b">
        <v>1</v>
      </c>
      <c r="D59" t="b">
        <v>1</v>
      </c>
      <c r="E59" t="b">
        <v>0</v>
      </c>
      <c r="F59" t="s">
        <v>28</v>
      </c>
      <c r="G59" t="s">
        <v>28</v>
      </c>
      <c r="H59" t="b">
        <v>1</v>
      </c>
      <c r="I59">
        <f t="shared" si="0"/>
        <v>1</v>
      </c>
      <c r="J59" t="b">
        <v>1</v>
      </c>
      <c r="K59">
        <v>0</v>
      </c>
      <c r="L59" t="b">
        <v>0</v>
      </c>
      <c r="M59" t="b">
        <v>0</v>
      </c>
      <c r="N59" t="s">
        <v>248</v>
      </c>
      <c r="O59" t="s">
        <v>249</v>
      </c>
      <c r="P59" t="s">
        <v>250</v>
      </c>
      <c r="Q59" t="s">
        <v>177</v>
      </c>
      <c r="R59">
        <v>2</v>
      </c>
      <c r="S59">
        <v>2</v>
      </c>
      <c r="T59">
        <v>0</v>
      </c>
    </row>
    <row r="60" spans="1:20" x14ac:dyDescent="0.2">
      <c r="A60" t="s">
        <v>26</v>
      </c>
      <c r="B60" s="13" t="s">
        <v>27</v>
      </c>
      <c r="C60" t="b">
        <v>1</v>
      </c>
      <c r="D60" t="b">
        <v>1</v>
      </c>
      <c r="E60" t="b">
        <v>1</v>
      </c>
      <c r="F60" t="s">
        <v>28</v>
      </c>
      <c r="G60" t="s">
        <v>28</v>
      </c>
      <c r="H60" t="b">
        <v>1</v>
      </c>
      <c r="I60">
        <f t="shared" si="0"/>
        <v>1</v>
      </c>
      <c r="J60" t="b">
        <v>1</v>
      </c>
      <c r="K60">
        <v>0</v>
      </c>
      <c r="L60" t="b">
        <v>0</v>
      </c>
      <c r="M60" t="b">
        <v>0</v>
      </c>
      <c r="N60" t="s">
        <v>29</v>
      </c>
      <c r="O60" t="s">
        <v>30</v>
      </c>
      <c r="P60" t="s">
        <v>31</v>
      </c>
      <c r="Q60" t="s">
        <v>25</v>
      </c>
      <c r="R60">
        <v>2</v>
      </c>
      <c r="S60">
        <v>2</v>
      </c>
      <c r="T60">
        <v>0</v>
      </c>
    </row>
    <row r="61" spans="1:20" x14ac:dyDescent="0.2">
      <c r="A61" t="s">
        <v>26</v>
      </c>
      <c r="B61" t="s">
        <v>27</v>
      </c>
      <c r="C61" t="b">
        <v>1</v>
      </c>
      <c r="D61" t="b">
        <v>1</v>
      </c>
      <c r="E61" t="b">
        <v>0</v>
      </c>
      <c r="F61" t="s">
        <v>28</v>
      </c>
      <c r="G61" t="s">
        <v>28</v>
      </c>
      <c r="H61" t="b">
        <v>1</v>
      </c>
      <c r="I61">
        <f t="shared" si="0"/>
        <v>1</v>
      </c>
      <c r="J61" t="b">
        <v>1</v>
      </c>
      <c r="K61">
        <v>0</v>
      </c>
      <c r="L61" t="b">
        <v>0</v>
      </c>
      <c r="M61" t="b">
        <v>0</v>
      </c>
      <c r="N61" t="s">
        <v>178</v>
      </c>
      <c r="O61" t="s">
        <v>179</v>
      </c>
      <c r="P61" t="s">
        <v>180</v>
      </c>
      <c r="Q61" t="s">
        <v>177</v>
      </c>
      <c r="R61">
        <v>2</v>
      </c>
      <c r="S61">
        <v>2</v>
      </c>
      <c r="T61">
        <v>0</v>
      </c>
    </row>
    <row r="62" spans="1:20" x14ac:dyDescent="0.2">
      <c r="I62">
        <f>AVERAGE(I2:I61)</f>
        <v>0.26666666666666666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count severity</vt:lpstr>
      <vt:lpstr>Detail1</vt:lpstr>
      <vt:lpstr>ave severity</vt:lpstr>
      <vt:lpstr>correct</vt:lpstr>
      <vt:lpstr>ckm_probe_results_combined_code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Lawrence Salud</dc:creator>
  <cp:lastModifiedBy>Lawrence Salud</cp:lastModifiedBy>
  <dcterms:created xsi:type="dcterms:W3CDTF">2026-08-04T20:37:55Z</dcterms:created>
  <dcterms:modified xsi:type="dcterms:W3CDTF">2026-08-07T23:08:59Z</dcterms:modified>
</cp:coreProperties>
</file>